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3"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isken\Documents\projects\CRWC\Proc_51\"/>
    </mc:Choice>
  </mc:AlternateContent>
  <xr:revisionPtr revIDLastSave="0" documentId="13_ncr:1_{7A8473B2-7603-4EC0-A802-BE34764E3454}" xr6:coauthVersionLast="36" xr6:coauthVersionMax="45" xr10:uidLastSave="{00000000-0000-0000-0000-000000000000}"/>
  <bookViews>
    <workbookView xWindow="0" yWindow="0" windowWidth="17280" windowHeight="7485" activeTab="1" xr2:uid="{AC740384-605F-498E-8AF9-35CF58982A68}"/>
  </bookViews>
  <sheets>
    <sheet name="Proc. 51 Habitat Data" sheetId="2" r:id="rId1"/>
    <sheet name="Proc. 51 Macro Data" sheetId="1" r:id="rId2"/>
    <sheet name="SummaryDefs" sheetId="5" r:id="rId3"/>
    <sheet name="Parameters" sheetId="3" r:id="rId4"/>
    <sheet name="NotesIdeasQuestions" sheetId="4" r:id="rId5"/>
  </sheets>
  <definedNames>
    <definedName name="_xlnm._FilterDatabase" localSheetId="1" hidden="1">'Proc. 51 Macro Data'!$A$7:$I$140</definedName>
    <definedName name="Downstream">'Proc. 51 Macro Data'!$C$8:$C$140</definedName>
    <definedName name="eco_summary_defs">SummaryDefs!$B$16:$K$60</definedName>
    <definedName name="EcoMetricKey">SummaryDefs!$L$16:$L$60</definedName>
    <definedName name="ecoregion_DS">'Proc. 51 Macro Data'!$C$5</definedName>
    <definedName name="ecoregion_US">'Proc. 51 Macro Data'!$D$5</definedName>
    <definedName name="Ecoregions">Parameters!$B$4:$B$8</definedName>
    <definedName name="edit_mode">'Proc. 51 Macro Data'!$A$6</definedName>
    <definedName name="Excellent_Thresh">Parameters!$F$5</definedName>
    <definedName name="HBI_Tolerance_Rating">'Proc. 51 Macro Data'!$E$8:$E$140</definedName>
    <definedName name="HBI_Value_DS">'Proc. 51 Macro Data'!$F$8:$F$140</definedName>
    <definedName name="HBI_Value_US">'Proc. 51 Macro Data'!$G$8:$G$140</definedName>
    <definedName name="isEPTtaxa">'Proc. 51 Macro Data'!$H$8:$H$140</definedName>
    <definedName name="isSurfaceDept">'Proc. 51 Macro Data'!$I$8:$I$140</definedName>
    <definedName name="Level1">'Proc. 51 Macro Data'!$A$8:$A$140</definedName>
    <definedName name="Level2">'Proc. 51 Macro Data'!$B$8:$B$140</definedName>
    <definedName name="Lookup_WQ">'Proc. 51 Macro Data'!$E$151:$F$157</definedName>
    <definedName name="Poor_Thresh">Parameters!$F$4</definedName>
    <definedName name="Site_Code">'Proc. 51 Macro Data'!$C$3</definedName>
    <definedName name="Total_DS">'Proc. 51 Macro Data'!$C$142</definedName>
    <definedName name="total_habitat_rating_lookup">Parameters!$I$5:$J$8</definedName>
    <definedName name="Total_US">'Proc. 51 Macro Data'!$D$142</definedName>
    <definedName name="Upstream">'Proc. 51 Macro Data'!$D$8:$D$140</definedName>
    <definedName name="Width_DS">'Proc. 51 Habitat Data'!$B$14</definedName>
    <definedName name="Width_US">'Proc. 51 Habitat Data'!$C$14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8" i="2" l="1"/>
  <c r="B38" i="2"/>
  <c r="C45" i="2"/>
  <c r="C46" i="2"/>
  <c r="C47" i="2"/>
  <c r="C48" i="2"/>
  <c r="C49" i="2"/>
  <c r="C50" i="2"/>
  <c r="C44" i="2"/>
  <c r="C43" i="2"/>
  <c r="C41" i="2"/>
  <c r="C42" i="2"/>
  <c r="C40" i="2"/>
  <c r="P5" i="5" l="1"/>
  <c r="Z5" i="5" s="1"/>
  <c r="AA5" i="5" s="1"/>
  <c r="S5" i="5" s="1"/>
  <c r="G178" i="1" s="1"/>
  <c r="P6" i="5"/>
  <c r="Z6" i="5" s="1"/>
  <c r="AA6" i="5" s="1"/>
  <c r="S6" i="5" s="1"/>
  <c r="G179" i="1" s="1"/>
  <c r="P7" i="5"/>
  <c r="P8" i="5"/>
  <c r="P9" i="5"/>
  <c r="Z9" i="5" s="1"/>
  <c r="AA9" i="5" s="1"/>
  <c r="S9" i="5" s="1"/>
  <c r="G182" i="1" s="1"/>
  <c r="P10" i="5"/>
  <c r="Z10" i="5" s="1"/>
  <c r="AA10" i="5" s="1"/>
  <c r="S10" i="5" s="1"/>
  <c r="G183" i="1" s="1"/>
  <c r="P11" i="5"/>
  <c r="P12" i="5"/>
  <c r="Z12" i="5" s="1"/>
  <c r="AA12" i="5" s="1"/>
  <c r="S12" i="5" s="1"/>
  <c r="G185" i="1" s="1"/>
  <c r="P4" i="5"/>
  <c r="Z4" i="5" s="1"/>
  <c r="AA4" i="5" s="1"/>
  <c r="S4" i="5" s="1"/>
  <c r="G177" i="1" s="1"/>
  <c r="Z11" i="5"/>
  <c r="AA11" i="5" s="1"/>
  <c r="S11" i="5" s="1"/>
  <c r="G184" i="1" s="1"/>
  <c r="Z8" i="5"/>
  <c r="AA8" i="5" s="1"/>
  <c r="S8" i="5" s="1"/>
  <c r="G181" i="1" s="1"/>
  <c r="Z7" i="5"/>
  <c r="AA7" i="5" s="1"/>
  <c r="S7" i="5" s="1"/>
  <c r="G180" i="1" s="1"/>
  <c r="B146" i="1"/>
  <c r="C144" i="1" a="1"/>
  <c r="C144" i="1" s="1"/>
  <c r="B5" i="5" l="1"/>
  <c r="L5" i="5" s="1"/>
  <c r="M5" i="5" s="1"/>
  <c r="B6" i="5"/>
  <c r="L6" i="5" s="1"/>
  <c r="M6" i="5" s="1"/>
  <c r="B7" i="5"/>
  <c r="L7" i="5" s="1"/>
  <c r="M7" i="5" s="1"/>
  <c r="B8" i="5"/>
  <c r="L8" i="5" s="1"/>
  <c r="M8" i="5" s="1"/>
  <c r="B9" i="5"/>
  <c r="L9" i="5" s="1"/>
  <c r="M9" i="5" s="1"/>
  <c r="B10" i="5"/>
  <c r="L10" i="5" s="1"/>
  <c r="M10" i="5" s="1"/>
  <c r="B11" i="5"/>
  <c r="L11" i="5" s="1"/>
  <c r="M11" i="5" s="1"/>
  <c r="B12" i="5"/>
  <c r="L12" i="5" s="1"/>
  <c r="M12" i="5" s="1"/>
  <c r="B4" i="5"/>
  <c r="L4" i="5" s="1"/>
  <c r="M4" i="5" s="1"/>
  <c r="L60" i="5"/>
  <c r="G60" i="5"/>
  <c r="F60" i="5"/>
  <c r="L59" i="5"/>
  <c r="G59" i="5"/>
  <c r="F59" i="5"/>
  <c r="L58" i="5"/>
  <c r="G58" i="5"/>
  <c r="F58" i="5"/>
  <c r="L57" i="5"/>
  <c r="G57" i="5"/>
  <c r="F57" i="5"/>
  <c r="L56" i="5"/>
  <c r="G56" i="5"/>
  <c r="F56" i="5"/>
  <c r="L55" i="5"/>
  <c r="G55" i="5"/>
  <c r="F55" i="5"/>
  <c r="L54" i="5"/>
  <c r="L53" i="5"/>
  <c r="L52" i="5"/>
  <c r="L51" i="5"/>
  <c r="G51" i="5"/>
  <c r="F51" i="5"/>
  <c r="L50" i="5"/>
  <c r="G50" i="5"/>
  <c r="F50" i="5"/>
  <c r="L49" i="5"/>
  <c r="G49" i="5"/>
  <c r="F49" i="5"/>
  <c r="L48" i="5"/>
  <c r="G48" i="5"/>
  <c r="F48" i="5"/>
  <c r="L47" i="5"/>
  <c r="G47" i="5"/>
  <c r="F47" i="5"/>
  <c r="L46" i="5"/>
  <c r="G46" i="5"/>
  <c r="F46" i="5"/>
  <c r="L45" i="5"/>
  <c r="L44" i="5"/>
  <c r="L43" i="5"/>
  <c r="L42" i="5"/>
  <c r="G42" i="5"/>
  <c r="F42" i="5"/>
  <c r="L41" i="5"/>
  <c r="G41" i="5"/>
  <c r="F41" i="5"/>
  <c r="L40" i="5"/>
  <c r="G40" i="5"/>
  <c r="F40" i="5"/>
  <c r="L39" i="5"/>
  <c r="G39" i="5"/>
  <c r="F39" i="5"/>
  <c r="L38" i="5"/>
  <c r="G38" i="5"/>
  <c r="F38" i="5"/>
  <c r="L37" i="5"/>
  <c r="G37" i="5"/>
  <c r="F37" i="5"/>
  <c r="L36" i="5"/>
  <c r="L35" i="5"/>
  <c r="L34" i="5"/>
  <c r="L33" i="5"/>
  <c r="G33" i="5"/>
  <c r="F33" i="5"/>
  <c r="L32" i="5"/>
  <c r="G32" i="5"/>
  <c r="F32" i="5"/>
  <c r="L31" i="5"/>
  <c r="G31" i="5"/>
  <c r="F31" i="5"/>
  <c r="L30" i="5"/>
  <c r="G30" i="5"/>
  <c r="F30" i="5"/>
  <c r="L29" i="5"/>
  <c r="G29" i="5"/>
  <c r="F29" i="5"/>
  <c r="L28" i="5"/>
  <c r="G28" i="5"/>
  <c r="F28" i="5"/>
  <c r="L27" i="5"/>
  <c r="L26" i="5"/>
  <c r="L25" i="5"/>
  <c r="L17" i="5"/>
  <c r="L18" i="5"/>
  <c r="L19" i="5"/>
  <c r="L20" i="5"/>
  <c r="L21" i="5"/>
  <c r="L22" i="5"/>
  <c r="L23" i="5"/>
  <c r="L24" i="5"/>
  <c r="L16" i="5"/>
  <c r="W12" i="5" l="1"/>
  <c r="U12" i="5"/>
  <c r="K185" i="1" s="1"/>
  <c r="T12" i="5"/>
  <c r="J185" i="1" s="1"/>
  <c r="V12" i="5"/>
  <c r="X12" i="5"/>
  <c r="Y12" i="5"/>
  <c r="U11" i="5"/>
  <c r="K184" i="1" s="1"/>
  <c r="V11" i="5"/>
  <c r="T11" i="5"/>
  <c r="J184" i="1" s="1"/>
  <c r="Y11" i="5"/>
  <c r="X11" i="5"/>
  <c r="W11" i="5"/>
  <c r="V4" i="5"/>
  <c r="T4" i="5"/>
  <c r="J177" i="1" s="1"/>
  <c r="X4" i="5"/>
  <c r="W4" i="5"/>
  <c r="U4" i="5"/>
  <c r="K177" i="1" s="1"/>
  <c r="Y4" i="5"/>
  <c r="T10" i="5"/>
  <c r="J183" i="1" s="1"/>
  <c r="Y10" i="5"/>
  <c r="X10" i="5"/>
  <c r="W10" i="5"/>
  <c r="V10" i="5"/>
  <c r="U10" i="5"/>
  <c r="K183" i="1" s="1"/>
  <c r="Y9" i="5"/>
  <c r="X9" i="5"/>
  <c r="T9" i="5"/>
  <c r="J182" i="1" s="1"/>
  <c r="W9" i="5"/>
  <c r="V9" i="5"/>
  <c r="U9" i="5"/>
  <c r="K182" i="1" s="1"/>
  <c r="Y8" i="5"/>
  <c r="X8" i="5"/>
  <c r="W8" i="5"/>
  <c r="T8" i="5"/>
  <c r="J181" i="1" s="1"/>
  <c r="V8" i="5"/>
  <c r="U8" i="5"/>
  <c r="K181" i="1" s="1"/>
  <c r="Y7" i="5"/>
  <c r="V7" i="5"/>
  <c r="X7" i="5"/>
  <c r="W7" i="5"/>
  <c r="U7" i="5"/>
  <c r="K180" i="1" s="1"/>
  <c r="T7" i="5"/>
  <c r="J180" i="1" s="1"/>
  <c r="X6" i="5"/>
  <c r="V6" i="5"/>
  <c r="W6" i="5"/>
  <c r="U6" i="5"/>
  <c r="K179" i="1" s="1"/>
  <c r="T6" i="5"/>
  <c r="J179" i="1" s="1"/>
  <c r="Y6" i="5"/>
  <c r="W5" i="5"/>
  <c r="T5" i="5"/>
  <c r="J178" i="1" s="1"/>
  <c r="V5" i="5"/>
  <c r="U5" i="5"/>
  <c r="K178" i="1" s="1"/>
  <c r="X5" i="5"/>
  <c r="Y5" i="5"/>
  <c r="H11" i="5"/>
  <c r="E11" i="5"/>
  <c r="G11" i="5"/>
  <c r="K11" i="5"/>
  <c r="I11" i="5"/>
  <c r="F11" i="5"/>
  <c r="J11" i="5"/>
  <c r="F10" i="5"/>
  <c r="J10" i="5"/>
  <c r="G10" i="5"/>
  <c r="K10" i="5"/>
  <c r="I10" i="5"/>
  <c r="E10" i="5"/>
  <c r="H10" i="5"/>
  <c r="F6" i="5"/>
  <c r="J6" i="5"/>
  <c r="E6" i="5"/>
  <c r="G6" i="5"/>
  <c r="K6" i="5"/>
  <c r="I6" i="5"/>
  <c r="H6" i="5"/>
  <c r="H7" i="5"/>
  <c r="E7" i="5"/>
  <c r="G7" i="5"/>
  <c r="I7" i="5"/>
  <c r="K7" i="5"/>
  <c r="F7" i="5"/>
  <c r="J7" i="5"/>
  <c r="H9" i="5"/>
  <c r="K9" i="5"/>
  <c r="I9" i="5"/>
  <c r="G9" i="5"/>
  <c r="F9" i="5"/>
  <c r="J9" i="5"/>
  <c r="E9" i="5"/>
  <c r="H5" i="5"/>
  <c r="K5" i="5"/>
  <c r="I5" i="5"/>
  <c r="G5" i="5"/>
  <c r="F5" i="5"/>
  <c r="J5" i="5"/>
  <c r="E5" i="5"/>
  <c r="F12" i="5"/>
  <c r="J12" i="5"/>
  <c r="G12" i="5"/>
  <c r="K12" i="5"/>
  <c r="E12" i="5"/>
  <c r="I12" i="5"/>
  <c r="H12" i="5"/>
  <c r="F8" i="5"/>
  <c r="J8" i="5"/>
  <c r="I8" i="5"/>
  <c r="G8" i="5"/>
  <c r="K8" i="5"/>
  <c r="E8" i="5"/>
  <c r="H8" i="5"/>
  <c r="F4" i="5"/>
  <c r="J4" i="5"/>
  <c r="I4" i="5"/>
  <c r="G4" i="5"/>
  <c r="K4" i="5"/>
  <c r="H4" i="5"/>
  <c r="E4" i="5"/>
  <c r="G24" i="5"/>
  <c r="F24" i="5"/>
  <c r="G23" i="5"/>
  <c r="F23" i="5"/>
  <c r="G22" i="5"/>
  <c r="F22" i="5"/>
  <c r="G21" i="5"/>
  <c r="F21" i="5"/>
  <c r="G20" i="5"/>
  <c r="F20" i="5"/>
  <c r="G19" i="5"/>
  <c r="F19" i="5"/>
  <c r="G172" i="1" l="1" a="1"/>
  <c r="G172" i="1" s="1"/>
  <c r="F172" i="1" a="1"/>
  <c r="F172" i="1" s="1"/>
  <c r="D165" i="1"/>
  <c r="C165" i="1"/>
  <c r="F123" i="1"/>
  <c r="G123" i="1"/>
  <c r="F121" i="1"/>
  <c r="G121" i="1"/>
  <c r="F117" i="1"/>
  <c r="G117" i="1"/>
  <c r="F111" i="1"/>
  <c r="G111" i="1"/>
  <c r="F108" i="1"/>
  <c r="G108" i="1"/>
  <c r="F103" i="1"/>
  <c r="G103" i="1"/>
  <c r="F104" i="1"/>
  <c r="G104" i="1"/>
  <c r="F105" i="1"/>
  <c r="G105" i="1"/>
  <c r="F90" i="1"/>
  <c r="G90" i="1"/>
  <c r="F91" i="1"/>
  <c r="G91" i="1"/>
  <c r="F92" i="1"/>
  <c r="G92" i="1"/>
  <c r="F93" i="1"/>
  <c r="G93" i="1"/>
  <c r="F94" i="1"/>
  <c r="G94" i="1"/>
  <c r="F85" i="1"/>
  <c r="G85" i="1"/>
  <c r="I185" i="1" l="1"/>
  <c r="I184" i="1"/>
  <c r="I183" i="1"/>
  <c r="I182" i="1"/>
  <c r="I181" i="1"/>
  <c r="I180" i="1"/>
  <c r="I179" i="1"/>
  <c r="I178" i="1"/>
  <c r="I177" i="1"/>
  <c r="G171" i="1"/>
  <c r="F171" i="1"/>
  <c r="D161" i="1"/>
  <c r="C161" i="1"/>
  <c r="D160" i="1"/>
  <c r="C160" i="1"/>
  <c r="D144" i="1" a="1"/>
  <c r="D144" i="1" s="1"/>
  <c r="D143" i="1"/>
  <c r="C143" i="1"/>
  <c r="D162" i="1" l="1"/>
  <c r="C162" i="1"/>
  <c r="H178" i="1" l="1"/>
  <c r="H179" i="1"/>
  <c r="H180" i="1"/>
  <c r="H181" i="1"/>
  <c r="H182" i="1"/>
  <c r="H183" i="1"/>
  <c r="H184" i="1"/>
  <c r="H185" i="1"/>
  <c r="H177" i="1"/>
  <c r="D177" i="1"/>
  <c r="F178" i="1"/>
  <c r="F179" i="1"/>
  <c r="F180" i="1"/>
  <c r="F181" i="1"/>
  <c r="F182" i="1"/>
  <c r="F183" i="1"/>
  <c r="F184" i="1"/>
  <c r="F185" i="1"/>
  <c r="F177" i="1"/>
  <c r="G170" i="1" a="1"/>
  <c r="G170" i="1" s="1"/>
  <c r="F170" i="1" a="1"/>
  <c r="F170" i="1" s="1"/>
  <c r="G169" i="1" a="1"/>
  <c r="G169" i="1" s="1"/>
  <c r="F169" i="1" a="1"/>
  <c r="F169" i="1" s="1"/>
  <c r="C177" i="1" l="1"/>
  <c r="D142" i="1"/>
  <c r="C142" i="1"/>
  <c r="D168" i="1" a="1"/>
  <c r="D168" i="1" s="1"/>
  <c r="D180" i="1" s="1"/>
  <c r="C168" i="1" a="1"/>
  <c r="C168" i="1" s="1"/>
  <c r="C180" i="1" s="1"/>
  <c r="D167" i="1" a="1"/>
  <c r="D167" i="1" s="1"/>
  <c r="D179" i="1" s="1"/>
  <c r="C167" i="1" a="1"/>
  <c r="C167" i="1" s="1"/>
  <c r="C179" i="1" s="1"/>
  <c r="D166" i="1" a="1"/>
  <c r="D166" i="1" s="1"/>
  <c r="D178" i="1" s="1"/>
  <c r="C166" i="1" a="1"/>
  <c r="C166" i="1" s="1"/>
  <c r="C178" i="1" s="1"/>
  <c r="D173" i="1" l="1" a="1"/>
  <c r="D173" i="1" s="1"/>
  <c r="D185" i="1" s="1"/>
  <c r="D172" i="1" a="1"/>
  <c r="D172" i="1" s="1"/>
  <c r="D184" i="1" s="1"/>
  <c r="C173" i="1" a="1"/>
  <c r="C173" i="1" s="1"/>
  <c r="C185" i="1" s="1"/>
  <c r="C172" i="1" a="1"/>
  <c r="C172" i="1" s="1"/>
  <c r="C184" i="1" s="1"/>
  <c r="C170" i="1" a="1"/>
  <c r="C170" i="1" s="1"/>
  <c r="C182" i="1" s="1"/>
  <c r="C171" i="1"/>
  <c r="C183" i="1" s="1"/>
  <c r="C169" i="1" a="1"/>
  <c r="C169" i="1" s="1"/>
  <c r="C181" i="1" s="1"/>
  <c r="D169" i="1" a="1"/>
  <c r="D169" i="1" s="1"/>
  <c r="D181" i="1" s="1"/>
  <c r="D171" i="1"/>
  <c r="D183" i="1" s="1"/>
  <c r="D170" i="1" a="1"/>
  <c r="D170" i="1" s="1"/>
  <c r="D182" i="1" s="1"/>
  <c r="E152" i="1"/>
  <c r="E153" i="1"/>
  <c r="E154" i="1"/>
  <c r="E155" i="1"/>
  <c r="E156" i="1"/>
  <c r="E157" i="1"/>
  <c r="E151" i="1"/>
  <c r="C37" i="2" l="1"/>
  <c r="B37" i="2"/>
  <c r="D187" i="1"/>
  <c r="D188" i="1" s="1"/>
  <c r="C187" i="1"/>
  <c r="C188" i="1" s="1"/>
  <c r="G140" i="1"/>
  <c r="F140" i="1"/>
  <c r="G139" i="1"/>
  <c r="F139" i="1"/>
  <c r="G138" i="1"/>
  <c r="F138" i="1"/>
  <c r="G137" i="1"/>
  <c r="F137" i="1"/>
  <c r="G136" i="1"/>
  <c r="F136" i="1"/>
  <c r="G135" i="1"/>
  <c r="F135" i="1"/>
  <c r="G134" i="1"/>
  <c r="F134" i="1"/>
  <c r="G133" i="1"/>
  <c r="F133" i="1"/>
  <c r="G132" i="1"/>
  <c r="F132" i="1"/>
  <c r="G131" i="1"/>
  <c r="F131" i="1"/>
  <c r="G130" i="1"/>
  <c r="F130" i="1"/>
  <c r="G129" i="1"/>
  <c r="F129" i="1"/>
  <c r="G128" i="1"/>
  <c r="F128" i="1"/>
  <c r="G127" i="1"/>
  <c r="F127" i="1"/>
  <c r="G126" i="1"/>
  <c r="F126" i="1"/>
  <c r="G125" i="1"/>
  <c r="F125" i="1"/>
  <c r="G124" i="1"/>
  <c r="F124" i="1"/>
  <c r="G122" i="1"/>
  <c r="F122" i="1"/>
  <c r="G120" i="1"/>
  <c r="F120" i="1"/>
  <c r="G119" i="1"/>
  <c r="F119" i="1"/>
  <c r="G118" i="1"/>
  <c r="F118" i="1"/>
  <c r="G116" i="1"/>
  <c r="F116" i="1"/>
  <c r="G115" i="1"/>
  <c r="F115" i="1"/>
  <c r="G114" i="1"/>
  <c r="F114" i="1"/>
  <c r="G113" i="1"/>
  <c r="F113" i="1"/>
  <c r="G112" i="1"/>
  <c r="F112" i="1"/>
  <c r="G110" i="1"/>
  <c r="F110" i="1"/>
  <c r="G109" i="1"/>
  <c r="F109" i="1"/>
  <c r="G107" i="1"/>
  <c r="F107" i="1"/>
  <c r="G106" i="1"/>
  <c r="F106" i="1"/>
  <c r="G102" i="1"/>
  <c r="F102" i="1"/>
  <c r="G101" i="1"/>
  <c r="F101" i="1"/>
  <c r="G100" i="1"/>
  <c r="F100" i="1"/>
  <c r="G99" i="1"/>
  <c r="F99" i="1"/>
  <c r="G98" i="1"/>
  <c r="F98" i="1"/>
  <c r="G97" i="1"/>
  <c r="F97" i="1"/>
  <c r="G96" i="1"/>
  <c r="F96" i="1"/>
  <c r="G95" i="1"/>
  <c r="F95" i="1"/>
  <c r="G89" i="1"/>
  <c r="F89" i="1"/>
  <c r="G88" i="1"/>
  <c r="F88" i="1"/>
  <c r="G87" i="1"/>
  <c r="F87" i="1"/>
  <c r="G86" i="1"/>
  <c r="F86" i="1"/>
  <c r="G84" i="1"/>
  <c r="F84" i="1"/>
  <c r="G83" i="1"/>
  <c r="F83" i="1"/>
  <c r="G82" i="1"/>
  <c r="F82" i="1"/>
  <c r="G81" i="1"/>
  <c r="F81" i="1"/>
  <c r="G80" i="1"/>
  <c r="F80" i="1"/>
  <c r="G79" i="1"/>
  <c r="F79" i="1"/>
  <c r="G78" i="1"/>
  <c r="F78" i="1"/>
  <c r="G77" i="1"/>
  <c r="F77" i="1"/>
  <c r="G76" i="1"/>
  <c r="F76" i="1"/>
  <c r="G75" i="1"/>
  <c r="F75" i="1"/>
  <c r="G74" i="1"/>
  <c r="F74" i="1"/>
  <c r="G73" i="1"/>
  <c r="F73" i="1"/>
  <c r="G72" i="1"/>
  <c r="F72" i="1"/>
  <c r="G71" i="1"/>
  <c r="F71" i="1"/>
  <c r="G70" i="1"/>
  <c r="F70" i="1"/>
  <c r="G69" i="1"/>
  <c r="F69" i="1"/>
  <c r="G68" i="1"/>
  <c r="F68" i="1"/>
  <c r="G67" i="1"/>
  <c r="F67" i="1"/>
  <c r="G66" i="1"/>
  <c r="F66" i="1"/>
  <c r="G65" i="1"/>
  <c r="F65" i="1"/>
  <c r="G64" i="1"/>
  <c r="F64" i="1"/>
  <c r="G63" i="1"/>
  <c r="F63" i="1"/>
  <c r="G62" i="1"/>
  <c r="F62" i="1"/>
  <c r="G61" i="1"/>
  <c r="F61" i="1"/>
  <c r="G60" i="1"/>
  <c r="F60" i="1"/>
  <c r="G59" i="1"/>
  <c r="F59" i="1"/>
  <c r="G58" i="1"/>
  <c r="F58" i="1"/>
  <c r="G57" i="1"/>
  <c r="F57" i="1"/>
  <c r="G56" i="1"/>
  <c r="F56" i="1"/>
  <c r="G55" i="1"/>
  <c r="F55" i="1"/>
  <c r="G54" i="1"/>
  <c r="F54" i="1"/>
  <c r="G53" i="1"/>
  <c r="F53" i="1"/>
  <c r="G52" i="1"/>
  <c r="F52" i="1"/>
  <c r="G51" i="1"/>
  <c r="F51" i="1"/>
  <c r="G50" i="1"/>
  <c r="F50" i="1"/>
  <c r="G49" i="1"/>
  <c r="F49" i="1"/>
  <c r="G48" i="1"/>
  <c r="F48" i="1"/>
  <c r="G47" i="1"/>
  <c r="F47" i="1"/>
  <c r="G46" i="1"/>
  <c r="F46" i="1"/>
  <c r="G45" i="1"/>
  <c r="F45" i="1"/>
  <c r="G44" i="1"/>
  <c r="F44" i="1"/>
  <c r="G43" i="1"/>
  <c r="F43" i="1"/>
  <c r="G42" i="1"/>
  <c r="F42" i="1"/>
  <c r="G41" i="1"/>
  <c r="F41" i="1"/>
  <c r="G40" i="1"/>
  <c r="F40" i="1"/>
  <c r="G39" i="1"/>
  <c r="F39" i="1"/>
  <c r="G38" i="1"/>
  <c r="F38" i="1"/>
  <c r="G37" i="1"/>
  <c r="F37" i="1"/>
  <c r="G36" i="1"/>
  <c r="F36" i="1"/>
  <c r="G35" i="1"/>
  <c r="F35" i="1"/>
  <c r="G34" i="1"/>
  <c r="F34" i="1"/>
  <c r="G33" i="1"/>
  <c r="F33" i="1"/>
  <c r="G32" i="1"/>
  <c r="F32" i="1"/>
  <c r="G31" i="1"/>
  <c r="F31" i="1"/>
  <c r="G30" i="1"/>
  <c r="F30" i="1"/>
  <c r="G29" i="1"/>
  <c r="F29" i="1"/>
  <c r="G28" i="1"/>
  <c r="F28" i="1"/>
  <c r="G27" i="1"/>
  <c r="F27" i="1"/>
  <c r="G26" i="1"/>
  <c r="F26" i="1"/>
  <c r="G25" i="1"/>
  <c r="F25" i="1"/>
  <c r="G24" i="1"/>
  <c r="F24" i="1"/>
  <c r="G23" i="1"/>
  <c r="F23" i="1"/>
  <c r="G22" i="1"/>
  <c r="F22" i="1"/>
  <c r="G21" i="1"/>
  <c r="F21" i="1"/>
  <c r="G20" i="1"/>
  <c r="F20" i="1"/>
  <c r="G19" i="1"/>
  <c r="F19" i="1"/>
  <c r="G18" i="1"/>
  <c r="F18" i="1"/>
  <c r="G17" i="1"/>
  <c r="F17" i="1"/>
  <c r="G16" i="1"/>
  <c r="F16" i="1"/>
  <c r="G15" i="1"/>
  <c r="F15" i="1"/>
  <c r="G14" i="1"/>
  <c r="F14" i="1"/>
  <c r="G13" i="1"/>
  <c r="F13" i="1"/>
  <c r="G12" i="1"/>
  <c r="F12" i="1"/>
  <c r="G11" i="1"/>
  <c r="F11" i="1"/>
  <c r="G10" i="1"/>
  <c r="F10" i="1"/>
  <c r="G9" i="1"/>
  <c r="F9" i="1"/>
  <c r="G8" i="1"/>
  <c r="F8" i="1"/>
  <c r="F142" i="1" l="1"/>
  <c r="F143" i="1" s="1"/>
  <c r="F144" i="1" s="1"/>
  <c r="G142" i="1"/>
  <c r="G143" i="1" s="1"/>
  <c r="G144"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Mark Isken</author>
  </authors>
  <commentList>
    <comment ref="A6" authorId="0" shapeId="0" xr:uid="{FC39A417-3CAF-43CB-A88A-E2A8D7777D28}">
      <text>
        <r>
          <rPr>
            <b/>
            <sz val="9"/>
            <color indexed="81"/>
            <rFont val="Tahoma"/>
            <family val="2"/>
          </rPr>
          <t>In Developer mode, all worksheet protection is removed. In Data entry mode, worksheet protection is enabled so that only cells in which data should be input can be edited.</t>
        </r>
        <r>
          <rPr>
            <sz val="9"/>
            <color indexed="81"/>
            <rFont val="Tahoma"/>
            <family val="2"/>
          </rPr>
          <t xml:space="preserve">
</t>
        </r>
      </text>
    </comment>
    <comment ref="E7" authorId="0" shapeId="0" xr:uid="{3C8E3E65-3252-46C8-9EF8-827CC534DF91}">
      <text>
        <r>
          <rPr>
            <b/>
            <sz val="9"/>
            <color indexed="81"/>
            <rFont val="Tahoma"/>
            <family val="2"/>
          </rPr>
          <t>Couldn't we just populate this entire column?</t>
        </r>
      </text>
    </comment>
    <comment ref="H7" authorId="0" shapeId="0" xr:uid="{1E24FED2-58AE-4D55-824C-E29779BEB450}">
      <text>
        <r>
          <rPr>
            <b/>
            <sz val="9"/>
            <color indexed="81"/>
            <rFont val="Tahoma"/>
            <family val="2"/>
          </rPr>
          <t>An indicator array used in one of the approaches for counting EPT taxa. Same idea used for Surface Dependent taxa (see Appendix I in the Proc 51 document.)
Conditional formatting used to highlight the nonzeroes.</t>
        </r>
      </text>
    </comment>
    <comment ref="C8" authorId="0" shapeId="0" xr:uid="{6230E02C-D9BB-4E50-AFF4-4DC170B3A558}">
      <text>
        <r>
          <rPr>
            <b/>
            <sz val="9"/>
            <color indexed="81"/>
            <rFont val="Tahoma"/>
            <family val="2"/>
          </rPr>
          <t>Can freeze panes here for data entry.</t>
        </r>
        <r>
          <rPr>
            <sz val="9"/>
            <color indexed="81"/>
            <rFont val="Tahoma"/>
            <family val="2"/>
          </rPr>
          <t xml:space="preserve">
</t>
        </r>
      </text>
    </comment>
    <comment ref="C143" authorId="0" shapeId="0" xr:uid="{70A0DF75-1E77-4CF8-AF04-B343BA15420F}">
      <text>
        <r>
          <rPr>
            <b/>
            <sz val="9"/>
            <color indexed="81"/>
            <rFont val="Tahoma"/>
            <family val="2"/>
          </rPr>
          <t>By using COUNTIF instead of COUNTA you won't get tripped up by someone entering a zero into a cell.</t>
        </r>
      </text>
    </comment>
    <comment ref="G143" authorId="0" shapeId="0" xr:uid="{7693CA04-3262-48D9-8D0C-11614148338B}">
      <text>
        <r>
          <rPr>
            <b/>
            <sz val="9"/>
            <color indexed="81"/>
            <rFont val="Tahoma"/>
            <family val="2"/>
          </rPr>
          <t>This value is wrong due to two missing HBI ratings in column E. I added rule based conditional formatting to the HBI ratings in column E so that they are highlighed if value is missing but there are values in cols C and/or D. Since the HBI ratings are static, seems like this column should just get fully populated to avoid errors like this.</t>
        </r>
        <r>
          <rPr>
            <sz val="9"/>
            <color indexed="81"/>
            <rFont val="Tahoma"/>
            <family val="2"/>
          </rPr>
          <t xml:space="preserve">
</t>
        </r>
      </text>
    </comment>
    <comment ref="C144" authorId="0" shapeId="0" xr:uid="{75D0A97C-4031-4725-AD84-7D3916DDB2BC}">
      <text>
        <r>
          <rPr>
            <b/>
            <sz val="9"/>
            <color indexed="81"/>
            <rFont val="Tahoma"/>
            <family val="2"/>
          </rPr>
          <t>Uses array function and indictor array in col H.</t>
        </r>
        <r>
          <rPr>
            <sz val="9"/>
            <color indexed="81"/>
            <rFont val="Tahoma"/>
            <family val="2"/>
          </rPr>
          <t xml:space="preserve">
</t>
        </r>
      </text>
    </comment>
    <comment ref="F144" authorId="0" shapeId="0" xr:uid="{D33A195A-2538-48DD-86E5-0078777FA0D0}">
      <text>
        <r>
          <rPr>
            <b/>
            <sz val="9"/>
            <color indexed="81"/>
            <rFont val="Tahoma"/>
            <family val="2"/>
          </rPr>
          <t>Note use of approximate match style VLOOKUP.</t>
        </r>
        <r>
          <rPr>
            <sz val="9"/>
            <color indexed="81"/>
            <rFont val="Tahoma"/>
            <family val="2"/>
          </rPr>
          <t xml:space="preserve">
</t>
        </r>
      </text>
    </comment>
    <comment ref="B164" authorId="0" shapeId="0" xr:uid="{F0A12F08-E81F-48AA-9EE4-FD5133BFBE70}">
      <text>
        <r>
          <rPr>
            <b/>
            <sz val="9"/>
            <color indexed="81"/>
            <rFont val="Tahoma"/>
            <family val="2"/>
          </rPr>
          <t>Review all of the formulas in this table. The techniques I use are quite useful for conditional summing and counting. Once you understand how they work, you will find other uses for similar approach.</t>
        </r>
        <r>
          <rPr>
            <sz val="9"/>
            <color indexed="81"/>
            <rFont val="Tahoma"/>
            <family val="2"/>
          </rPr>
          <t xml:space="preserve">
</t>
        </r>
      </text>
    </comment>
    <comment ref="C172" authorId="0" shapeId="0" xr:uid="{5B93929A-75F4-4A0A-BC91-FB12E0DE3E6E}">
      <text>
        <r>
          <rPr>
            <b/>
            <sz val="9"/>
            <color indexed="81"/>
            <rFont val="Tahoma"/>
            <family val="2"/>
          </rPr>
          <t>p11 of Proc 51 says "order Isopoda, class Gastropoda and class Hirudinea". How does this map to list above? I made an educated guess.</t>
        </r>
        <r>
          <rPr>
            <sz val="9"/>
            <color indexed="81"/>
            <rFont val="Tahoma"/>
            <family val="2"/>
          </rPr>
          <t xml:space="preserve">
</t>
        </r>
      </text>
    </comment>
    <comment ref="C173" authorId="0" shapeId="0" xr:uid="{8E61BFFE-2464-4CCB-9AB3-B4416014176E}">
      <text>
        <r>
          <rPr>
            <b/>
            <sz val="9"/>
            <color indexed="81"/>
            <rFont val="Tahoma"/>
            <family val="2"/>
          </rPr>
          <t xml:space="preserve">Uses indicator values in column I. Similar approach to counting EPT taxa.
</t>
        </r>
        <r>
          <rPr>
            <sz val="9"/>
            <color indexed="81"/>
            <rFont val="Tahoma"/>
            <family val="2"/>
          </rPr>
          <t xml:space="preserve">
</t>
        </r>
      </text>
    </comment>
    <comment ref="H176" authorId="0" shapeId="0" xr:uid="{8D66DCB1-C465-4D91-A0FD-477801A14280}">
      <text>
        <r>
          <rPr>
            <b/>
            <sz val="9"/>
            <color indexed="81"/>
            <rFont val="Tahoma"/>
            <family val="2"/>
          </rPr>
          <t>Font automatically changes from light to normal if stream width is &lt; threshold for using the linear equation.</t>
        </r>
        <r>
          <rPr>
            <sz val="9"/>
            <color indexed="81"/>
            <rFont val="Tahoma"/>
            <family val="2"/>
          </rPr>
          <t xml:space="preserve">
</t>
        </r>
      </text>
    </comment>
    <comment ref="J176" authorId="0" shapeId="0" xr:uid="{C0EF3ECB-5CD6-4749-8EA6-C00837E34746}">
      <text>
        <r>
          <rPr>
            <b/>
            <sz val="9"/>
            <color indexed="81"/>
            <rFont val="Tahoma"/>
            <family val="2"/>
          </rPr>
          <t>Font automatically changes from light to normal if stream width is &lt; threshold for using the linear equation.</t>
        </r>
        <r>
          <rPr>
            <sz val="9"/>
            <color indexed="81"/>
            <rFont val="Tahoma"/>
            <family val="2"/>
          </rPr>
          <t xml:space="preserve">
</t>
        </r>
      </text>
    </comment>
  </commentList>
</comments>
</file>

<file path=xl/sharedStrings.xml><?xml version="1.0" encoding="utf-8"?>
<sst xmlns="http://schemas.openxmlformats.org/spreadsheetml/2006/main" count="1846" uniqueCount="309">
  <si>
    <t>Site Code</t>
  </si>
  <si>
    <t>Partridge (DS)</t>
  </si>
  <si>
    <t>Partridge (US)</t>
  </si>
  <si>
    <t>Date</t>
  </si>
  <si>
    <t>Ecoregion</t>
  </si>
  <si>
    <t>HELP</t>
  </si>
  <si>
    <t>Porifera</t>
  </si>
  <si>
    <t>Platyhelminthes</t>
  </si>
  <si>
    <t>Tubellaria</t>
  </si>
  <si>
    <t>Nematomorpha</t>
  </si>
  <si>
    <t>Bryozoa</t>
  </si>
  <si>
    <t>Annelida</t>
  </si>
  <si>
    <t>Hirudinea</t>
  </si>
  <si>
    <t>Oligochaeta</t>
  </si>
  <si>
    <t>Crustacea</t>
  </si>
  <si>
    <t>Amphipoda</t>
  </si>
  <si>
    <t>Decapoda</t>
  </si>
  <si>
    <t>Isopoda</t>
  </si>
  <si>
    <t>Arachnoidea</t>
  </si>
  <si>
    <t>Hydracarina</t>
  </si>
  <si>
    <t>Ephemeroptera</t>
  </si>
  <si>
    <t>Ametropodidae</t>
  </si>
  <si>
    <t>Baetiscidae</t>
  </si>
  <si>
    <t>Baetidae</t>
  </si>
  <si>
    <t>Caenidae</t>
  </si>
  <si>
    <t>Ephemerellidae</t>
  </si>
  <si>
    <t>Ephemeridae</t>
  </si>
  <si>
    <t>Heptageniidae</t>
  </si>
  <si>
    <t>Isonychiidae</t>
  </si>
  <si>
    <t>Leptophlebiidae</t>
  </si>
  <si>
    <t>Metretopodidae</t>
  </si>
  <si>
    <t>Polymitarcyidae</t>
  </si>
  <si>
    <t>Potamanthidae</t>
  </si>
  <si>
    <t>Siphlonuridae</t>
  </si>
  <si>
    <t>Tricorythidae</t>
  </si>
  <si>
    <t>Odonata</t>
  </si>
  <si>
    <t>Aeshnidae</t>
  </si>
  <si>
    <t>Cordulegastridae</t>
  </si>
  <si>
    <t>Corduliidae</t>
  </si>
  <si>
    <t>Gomphidae</t>
  </si>
  <si>
    <t>Libellulidae</t>
  </si>
  <si>
    <t>Macomiidae</t>
  </si>
  <si>
    <t>Calopterygidae</t>
  </si>
  <si>
    <t>Coenagrionidae</t>
  </si>
  <si>
    <t>Lestidae</t>
  </si>
  <si>
    <t>Plecoptera</t>
  </si>
  <si>
    <t>Capniidae</t>
  </si>
  <si>
    <t>Chloroperlidae</t>
  </si>
  <si>
    <t>Leuctridae</t>
  </si>
  <si>
    <t>Nemouridae</t>
  </si>
  <si>
    <t>Peltoperlidae</t>
  </si>
  <si>
    <t>Perlidae</t>
  </si>
  <si>
    <t>Perlodidae</t>
  </si>
  <si>
    <t>Pteronarcyidae</t>
  </si>
  <si>
    <t>Taeniopterygidae</t>
  </si>
  <si>
    <t>Hemiptera</t>
  </si>
  <si>
    <t>Belostomatidae</t>
  </si>
  <si>
    <t>Corixidae</t>
  </si>
  <si>
    <t>Gelastocoridae</t>
  </si>
  <si>
    <t>Gerridae</t>
  </si>
  <si>
    <t>Mesoveliidae</t>
  </si>
  <si>
    <t>Naucoridae</t>
  </si>
  <si>
    <t>Nepidae</t>
  </si>
  <si>
    <t>Notonectidae</t>
  </si>
  <si>
    <t>Pleidae</t>
  </si>
  <si>
    <t>Saldidae</t>
  </si>
  <si>
    <t>Veliidae</t>
  </si>
  <si>
    <t>Megalopetera</t>
  </si>
  <si>
    <t>Corydalidae</t>
  </si>
  <si>
    <t>Sialidae</t>
  </si>
  <si>
    <t>Neuroptera</t>
  </si>
  <si>
    <t>Sisyridae</t>
  </si>
  <si>
    <t>Trichoptera</t>
  </si>
  <si>
    <t>Brachycentridae</t>
  </si>
  <si>
    <t>Glossosomatidae</t>
  </si>
  <si>
    <t>Helicopsychidae</t>
  </si>
  <si>
    <t>Hydropsychidae</t>
  </si>
  <si>
    <t>Hydroptilidae</t>
  </si>
  <si>
    <t>Lepidostomatidae</t>
  </si>
  <si>
    <t>Leptoceridae</t>
  </si>
  <si>
    <t>Limnephilidae</t>
  </si>
  <si>
    <t>Molannidae</t>
  </si>
  <si>
    <t>Odontoceridae</t>
  </si>
  <si>
    <t>Philopotamidae</t>
  </si>
  <si>
    <t>Phryganeidae</t>
  </si>
  <si>
    <t>Polycentropodidae</t>
  </si>
  <si>
    <t>Psychomyiidae</t>
  </si>
  <si>
    <t>Rhyacophilidae</t>
  </si>
  <si>
    <t>Sericostomatidae</t>
  </si>
  <si>
    <t>Uenoidae</t>
  </si>
  <si>
    <t>Lepidoptera</t>
  </si>
  <si>
    <t>Noctuidae</t>
  </si>
  <si>
    <t>Pyralidae</t>
  </si>
  <si>
    <t>Coleoptera</t>
  </si>
  <si>
    <t>Dryopidae</t>
  </si>
  <si>
    <t>Elmidae</t>
  </si>
  <si>
    <t>Gyrinidae</t>
  </si>
  <si>
    <t>Haliplidae</t>
  </si>
  <si>
    <t>Lamyridae</t>
  </si>
  <si>
    <t>Noteridae</t>
  </si>
  <si>
    <t>Psephenidae</t>
  </si>
  <si>
    <t>Ptilodactylidae</t>
  </si>
  <si>
    <t>Scirtidae</t>
  </si>
  <si>
    <t>Diptera</t>
  </si>
  <si>
    <t>Athericidae</t>
  </si>
  <si>
    <t>Ceratopogonidae</t>
  </si>
  <si>
    <t>Chironomidae</t>
  </si>
  <si>
    <t>Dixidae</t>
  </si>
  <si>
    <t>Empididae</t>
  </si>
  <si>
    <t>Ephydridae</t>
  </si>
  <si>
    <t>Muscidae</t>
  </si>
  <si>
    <t>Psychodidae</t>
  </si>
  <si>
    <t>Sciomyzidae</t>
  </si>
  <si>
    <t>Simuliidae</t>
  </si>
  <si>
    <t>Tabanidae</t>
  </si>
  <si>
    <t>Thaumaleidae</t>
  </si>
  <si>
    <t>Tipulidae</t>
  </si>
  <si>
    <t>Gastropoda</t>
  </si>
  <si>
    <t>Ancylidae</t>
  </si>
  <si>
    <t>Bithyniidae</t>
  </si>
  <si>
    <t>Hydrobiidae</t>
  </si>
  <si>
    <t>Lymnaeidae</t>
  </si>
  <si>
    <t>Physidae</t>
  </si>
  <si>
    <t>Planorbidae</t>
  </si>
  <si>
    <t>Pleuroceridae</t>
  </si>
  <si>
    <t xml:space="preserve">Pomatiopsoidae </t>
  </si>
  <si>
    <t>Valvatidae</t>
  </si>
  <si>
    <t>Viviparidae</t>
  </si>
  <si>
    <t>Pelecypoda</t>
  </si>
  <si>
    <t>Dreissenidae</t>
  </si>
  <si>
    <t>Pisidiidae</t>
  </si>
  <si>
    <t>Sphaeriidae</t>
  </si>
  <si>
    <t>Unionidae</t>
  </si>
  <si>
    <t>Total</t>
  </si>
  <si>
    <t>Sum HBI Values</t>
  </si>
  <si>
    <t>Total Taxa</t>
  </si>
  <si>
    <t>HBI Score</t>
  </si>
  <si>
    <t>EPT Taxa</t>
  </si>
  <si>
    <t>Water Quality</t>
  </si>
  <si>
    <t>Poor</t>
  </si>
  <si>
    <t>HBI Values</t>
  </si>
  <si>
    <t>0.00-3.75</t>
  </si>
  <si>
    <t>Excellent</t>
  </si>
  <si>
    <t>3.76-4.25</t>
  </si>
  <si>
    <t>Very Good</t>
  </si>
  <si>
    <t>4.26-5.00</t>
  </si>
  <si>
    <t>Good</t>
  </si>
  <si>
    <t>5.01-5.75</t>
  </si>
  <si>
    <t>Fair</t>
  </si>
  <si>
    <t>5.76-6.50</t>
  </si>
  <si>
    <t>Fairly Poor</t>
  </si>
  <si>
    <t>6.51-7.25</t>
  </si>
  <si>
    <t>7.26-10.00</t>
  </si>
  <si>
    <t>Very Poor</t>
  </si>
  <si>
    <t>Metric</t>
  </si>
  <si>
    <t>Mayfly Taxa</t>
  </si>
  <si>
    <t>Caddisfly Taxa</t>
  </si>
  <si>
    <t>Stonefly Taxa</t>
  </si>
  <si>
    <t>% Mayfly</t>
  </si>
  <si>
    <t>% Caddisfly</t>
  </si>
  <si>
    <t>% Dominance</t>
  </si>
  <si>
    <t>% Isopod, Snail, Leech</t>
  </si>
  <si>
    <t>% Surface Dependent</t>
  </si>
  <si>
    <t>Total Score</t>
  </si>
  <si>
    <t>Location</t>
  </si>
  <si>
    <t>Downstream (RomeoPlank)</t>
  </si>
  <si>
    <t>Upstream (west end)</t>
  </si>
  <si>
    <t>Partridge_DS</t>
  </si>
  <si>
    <t>Partridge_US</t>
  </si>
  <si>
    <t>Monitoring Type</t>
  </si>
  <si>
    <t>Proc51</t>
  </si>
  <si>
    <t>Investigators</t>
  </si>
  <si>
    <t>ED,MS,ME</t>
  </si>
  <si>
    <t>Latitude</t>
  </si>
  <si>
    <t>Longitude</t>
  </si>
  <si>
    <t>City</t>
  </si>
  <si>
    <t>Clinton Twp</t>
  </si>
  <si>
    <t>County</t>
  </si>
  <si>
    <t xml:space="preserve">Macomb </t>
  </si>
  <si>
    <t>Weather</t>
  </si>
  <si>
    <t>Sunny</t>
  </si>
  <si>
    <t>Air Temperature</t>
  </si>
  <si>
    <t>Rain Event Last 7 Days</t>
  </si>
  <si>
    <t>Yes</t>
  </si>
  <si>
    <t>Riparian Vegetation</t>
  </si>
  <si>
    <t>Trees- Cottonwood/Grasses - Native</t>
  </si>
  <si>
    <t>Shrubs/herbaceous</t>
  </si>
  <si>
    <t>Average Stream Width</t>
  </si>
  <si>
    <t>Average Stream Depth</t>
  </si>
  <si>
    <t>Surface Velocity</t>
  </si>
  <si>
    <t>Estimated Flow</t>
  </si>
  <si>
    <t>Esimated Reach Length</t>
  </si>
  <si>
    <t>Aquatic Vegetation</t>
  </si>
  <si>
    <t>Rooted Emergent/ Rooted Submergent</t>
  </si>
  <si>
    <t>Rooted Submergent</t>
  </si>
  <si>
    <t>Portion of Reach w Aquatic Vegetation</t>
  </si>
  <si>
    <t>Water Temperature</t>
  </si>
  <si>
    <t>Habitat Sheet Used</t>
  </si>
  <si>
    <t>Riffle/Run</t>
  </si>
  <si>
    <t>Epifaunal Substrate</t>
  </si>
  <si>
    <t>Embeddedness</t>
  </si>
  <si>
    <t>Velocity + Depth Regime</t>
  </si>
  <si>
    <t>Sediment Deposition</t>
  </si>
  <si>
    <t>Maintained Flow Volume</t>
  </si>
  <si>
    <t>Flashiness</t>
  </si>
  <si>
    <t>Channel Alteration</t>
  </si>
  <si>
    <t>Frequency of Riffles</t>
  </si>
  <si>
    <t>Bank Stability LB</t>
  </si>
  <si>
    <t>Bank Stability RB</t>
  </si>
  <si>
    <t>Vegetative Protection LB</t>
  </si>
  <si>
    <t>Vegetative Protection RB</t>
  </si>
  <si>
    <t>Riparian Vegetative Zone Width LB</t>
  </si>
  <si>
    <t>Riparian Vegetative Zone Width RB</t>
  </si>
  <si>
    <t>Total Habitat Score</t>
  </si>
  <si>
    <t>Sylvan Glen Downstream</t>
  </si>
  <si>
    <t>SG - DS</t>
  </si>
  <si>
    <t>Pre</t>
  </si>
  <si>
    <t>K. Steeland, M. Einhauser</t>
  </si>
  <si>
    <t/>
  </si>
  <si>
    <t>Troy</t>
  </si>
  <si>
    <t>Oakland</t>
  </si>
  <si>
    <t>Partly cloudy</t>
  </si>
  <si>
    <t>75 F</t>
  </si>
  <si>
    <t>Trees, grasses, herbaceous</t>
  </si>
  <si>
    <t>15 ft.</t>
  </si>
  <si>
    <t>2.5 ft.</t>
  </si>
  <si>
    <t>1.15 ft/sec.</t>
  </si>
  <si>
    <t>43.2 cfs</t>
  </si>
  <si>
    <t>300 ft.</t>
  </si>
  <si>
    <t>Attached algae</t>
  </si>
  <si>
    <t>67.8 F</t>
  </si>
  <si>
    <t>Riffle-Run</t>
  </si>
  <si>
    <t>Lookup_WQ is range name for table below.</t>
  </si>
  <si>
    <t>isEPTtaxa</t>
  </si>
  <si>
    <t>Metric value</t>
  </si>
  <si>
    <t>Downstream</t>
  </si>
  <si>
    <t>Upstream</t>
  </si>
  <si>
    <t>HBI_Tolerance_Rating</t>
  </si>
  <si>
    <t>HBI_Value_DS</t>
  </si>
  <si>
    <t>HBI_Value_US</t>
  </si>
  <si>
    <t>Ecoregions</t>
  </si>
  <si>
    <t>ECB</t>
  </si>
  <si>
    <t>NCH</t>
  </si>
  <si>
    <t>NLF</t>
  </si>
  <si>
    <t>SMNITP</t>
  </si>
  <si>
    <t>&lt;-- Data Validation (list style) used to create dropdown picker</t>
  </si>
  <si>
    <t>Proc 51 - Data collection and metric computation</t>
  </si>
  <si>
    <t>Could convert data input range to a Table which would then keep col headings visible.</t>
  </si>
  <si>
    <t>The isEPTtaxa indicators are one way of simplifying formulas that just use EPT ranges.</t>
  </si>
  <si>
    <t>Another way is to use the order names (fully populated) in formulas.</t>
  </si>
  <si>
    <t>Level1</t>
  </si>
  <si>
    <t>Level2</t>
  </si>
  <si>
    <t>Numerators for formula auditing</t>
  </si>
  <si>
    <t>isSurfaceDept</t>
  </si>
  <si>
    <t>MetricNum</t>
  </si>
  <si>
    <t>MetricName</t>
  </si>
  <si>
    <t>WidthThresh</t>
  </si>
  <si>
    <t>Plus1Coef</t>
  </si>
  <si>
    <t>Minus1Coef</t>
  </si>
  <si>
    <t>LowerLim</t>
  </si>
  <si>
    <t>UpperLim</t>
  </si>
  <si>
    <t>LowerVal</t>
  </si>
  <si>
    <t>UpperVal</t>
  </si>
  <si>
    <t>Overall metric summary</t>
  </si>
  <si>
    <t>Poor threshold</t>
  </si>
  <si>
    <t>Excellent threshold</t>
  </si>
  <si>
    <t>Width &gt; lower limit</t>
  </si>
  <si>
    <t>Width based intermediate calculations</t>
  </si>
  <si>
    <t>DS Rating</t>
  </si>
  <si>
    <t>US Rating</t>
  </si>
  <si>
    <t>Num Mayfly</t>
  </si>
  <si>
    <t>Num Caddisfly</t>
  </si>
  <si>
    <t>Num Dominance</t>
  </si>
  <si>
    <t>Num Isopod, Snail, Leech</t>
  </si>
  <si>
    <t>DS</t>
  </si>
  <si>
    <t>US</t>
  </si>
  <si>
    <t>Dytiscidae (adult)</t>
  </si>
  <si>
    <t>Dytiscidae (larvae)</t>
  </si>
  <si>
    <t>Hydrophilidae (adult)</t>
  </si>
  <si>
    <t>Hydrophilidae (larvae)</t>
  </si>
  <si>
    <t>Hydraenidae (adult)</t>
  </si>
  <si>
    <t>Hydraenidae  (larvae)</t>
  </si>
  <si>
    <t>Heteroceridae (adult)</t>
  </si>
  <si>
    <t>Heteroceridae (larvae)</t>
  </si>
  <si>
    <t>Culicidae (adult)</t>
  </si>
  <si>
    <t>Culicidae (larvae)</t>
  </si>
  <si>
    <t>Ptychopteridae (adult)</t>
  </si>
  <si>
    <t>Ptychopteridae (larvae)</t>
  </si>
  <si>
    <t>Stratiomyidae (adult)</t>
  </si>
  <si>
    <t>Stratiomyidae (larvae)</t>
  </si>
  <si>
    <t>Dolichopodidae (adult)</t>
  </si>
  <si>
    <t>Dolichopodidae (larvae)</t>
  </si>
  <si>
    <t>Syrphidae (adult)</t>
  </si>
  <si>
    <t>Syrphidae (larvae)</t>
  </si>
  <si>
    <t>Chaoboridae (adult)</t>
  </si>
  <si>
    <t>Chaoboridae (larvae except Chaoborus sp.)</t>
  </si>
  <si>
    <t>Chaoboridae (Chaoborus sp. larvae)</t>
  </si>
  <si>
    <t>EcoMetricKey</t>
  </si>
  <si>
    <t>Match</t>
  </si>
  <si>
    <t>key</t>
  </si>
  <si>
    <t>This is the main data table that needs to be filled in from the Proc 51 guidelines.</t>
  </si>
  <si>
    <t>Developer mode</t>
  </si>
  <si>
    <t>DOWNSTREAM</t>
  </si>
  <si>
    <t>UPSTREAM</t>
  </si>
  <si>
    <t>The tables in rows 4:12 are populated automatically when ecoregions selected in main sheet.</t>
  </si>
  <si>
    <t>Total habitat rating</t>
  </si>
  <si>
    <t>Score</t>
  </si>
  <si>
    <t>Rating</t>
  </si>
  <si>
    <t>Marginal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</si>
</sst>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
    <numFmt numFmtId="165" formatCode="0.000"/>
    <numFmt numFmtId="166" formatCode="0.0%"/>
  </numFmts>
  <fonts count="13" x14ac:knownFonts="1">
    <font>
      <sz val="11"/>
      <color theme="1"/>
      <name val="Calibri"/>
      <family val="2"/>
      <scheme val="minor"/>
    </font>
    <font>
      <sz val="10"/>
      <color indexed="8"/>
      <name val="Arial"/>
      <family val="2"/>
    </font>
    <font>
      <sz val="11"/>
      <color indexed="8"/>
      <name val="Calibri"/>
      <family val="2"/>
    </font>
    <font>
      <b/>
      <sz val="11"/>
      <color indexed="8"/>
      <name val="Calibri"/>
      <family val="2"/>
    </font>
    <font>
      <sz val="11"/>
      <color indexed="8"/>
      <name val="Calibri"/>
      <family val="2"/>
    </font>
    <font>
      <b/>
      <sz val="11"/>
      <color theme="1"/>
      <name val="Calibri"/>
      <family val="2"/>
      <scheme val="minor"/>
    </font>
    <font>
      <sz val="9"/>
      <color indexed="81"/>
      <name val="Tahoma"/>
      <family val="2"/>
    </font>
    <font>
      <b/>
      <sz val="9"/>
      <color indexed="81"/>
      <name val="Tahoma"/>
      <family val="2"/>
    </font>
    <font>
      <b/>
      <i/>
      <sz val="11"/>
      <color theme="1"/>
      <name val="Calibri"/>
      <family val="2"/>
      <scheme val="minor"/>
    </font>
    <font>
      <b/>
      <sz val="14"/>
      <color theme="1"/>
      <name val="Calibri"/>
      <family val="2"/>
      <scheme val="minor"/>
    </font>
    <font>
      <sz val="11"/>
      <color theme="1"/>
      <name val="Calibri"/>
      <family val="2"/>
      <scheme val="minor"/>
    </font>
    <font>
      <sz val="11"/>
      <color rgb="FF000000"/>
      <name val="Calibri"/>
      <family val="2"/>
    </font>
    <font>
      <b/>
      <sz val="11"/>
      <color rgb="FFFF0000"/>
      <name val="Calibri"/>
      <family val="2"/>
      <scheme val="minor"/>
    </font>
  </fonts>
  <fills count="8">
    <fill>
      <patternFill patternType="none"/>
    </fill>
    <fill>
      <patternFill patternType="gray125"/>
    </fill>
    <fill>
      <patternFill patternType="solid">
        <fgColor indexed="22"/>
        <bgColor indexed="0"/>
      </patternFill>
    </fill>
    <fill>
      <patternFill patternType="solid">
        <fgColor rgb="FFFFFF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9" tint="0.59999389629810485"/>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hair">
        <color indexed="64"/>
      </left>
      <right style="hair">
        <color indexed="64"/>
      </right>
      <top style="hair">
        <color indexed="64"/>
      </top>
      <bottom style="hair">
        <color indexed="64"/>
      </bottom>
      <diagonal/>
    </border>
  </borders>
  <cellStyleXfs count="3">
    <xf numFmtId="0" fontId="0" fillId="0" borderId="0"/>
    <xf numFmtId="0" fontId="1" fillId="0" borderId="0"/>
    <xf numFmtId="9" fontId="10" fillId="0" borderId="0" applyFont="0" applyFill="0" applyBorder="0" applyAlignment="0" applyProtection="0"/>
  </cellStyleXfs>
  <cellXfs count="86">
    <xf numFmtId="0" fontId="0" fillId="0" borderId="0" xfId="0"/>
    <xf numFmtId="0" fontId="0" fillId="0" borderId="1" xfId="0" applyBorder="1"/>
    <xf numFmtId="0" fontId="2" fillId="2" borderId="2" xfId="1" applyFont="1" applyFill="1" applyBorder="1" applyAlignment="1">
      <alignment horizontal="center"/>
    </xf>
    <xf numFmtId="0" fontId="3" fillId="0" borderId="3" xfId="1" applyFont="1" applyBorder="1" applyAlignment="1">
      <alignment horizontal="left" wrapText="1"/>
    </xf>
    <xf numFmtId="0" fontId="4" fillId="0" borderId="3" xfId="1" applyFont="1" applyBorder="1" applyAlignment="1">
      <alignment horizontal="center" wrapText="1"/>
    </xf>
    <xf numFmtId="14" fontId="0" fillId="0" borderId="0" xfId="0" applyNumberFormat="1" applyAlignment="1">
      <alignment horizontal="center"/>
    </xf>
    <xf numFmtId="0" fontId="2" fillId="0" borderId="3" xfId="1" applyFont="1" applyBorder="1" applyAlignment="1">
      <alignment horizontal="center" wrapText="1"/>
    </xf>
    <xf numFmtId="10" fontId="2" fillId="0" borderId="3" xfId="1" applyNumberFormat="1" applyFont="1" applyBorder="1" applyAlignment="1">
      <alignment horizontal="center" wrapText="1"/>
    </xf>
    <xf numFmtId="0" fontId="4" fillId="2" borderId="2" xfId="1" applyFont="1" applyFill="1" applyBorder="1" applyAlignment="1">
      <alignment horizontal="center"/>
    </xf>
    <xf numFmtId="0" fontId="0" fillId="0" borderId="0" xfId="0" applyAlignment="1">
      <alignment horizontal="left"/>
    </xf>
    <xf numFmtId="0" fontId="2" fillId="0" borderId="3" xfId="1" applyFont="1" applyBorder="1" applyAlignment="1">
      <alignment horizontal="left" wrapText="1"/>
    </xf>
    <xf numFmtId="164" fontId="2" fillId="0" borderId="3" xfId="1" applyNumberFormat="1" applyFont="1" applyBorder="1" applyAlignment="1">
      <alignment horizontal="left" wrapText="1"/>
    </xf>
    <xf numFmtId="10" fontId="2" fillId="0" borderId="3" xfId="1" applyNumberFormat="1" applyFont="1" applyBorder="1" applyAlignment="1">
      <alignment horizontal="left" wrapText="1"/>
    </xf>
    <xf numFmtId="0" fontId="0" fillId="0" borderId="0" xfId="0" quotePrefix="1"/>
    <xf numFmtId="0" fontId="0" fillId="4" borderId="0" xfId="0" applyFill="1"/>
    <xf numFmtId="0" fontId="5" fillId="0" borderId="0" xfId="0" applyFont="1"/>
    <xf numFmtId="0" fontId="8" fillId="0" borderId="0" xfId="0" quotePrefix="1" applyFont="1"/>
    <xf numFmtId="0" fontId="9" fillId="4" borderId="0" xfId="0" applyFont="1" applyFill="1"/>
    <xf numFmtId="0" fontId="0" fillId="5" borderId="1" xfId="0" applyFill="1" applyBorder="1"/>
    <xf numFmtId="0" fontId="5" fillId="0" borderId="4" xfId="0" applyFont="1" applyBorder="1"/>
    <xf numFmtId="0" fontId="5" fillId="0" borderId="5" xfId="0" applyFont="1" applyBorder="1"/>
    <xf numFmtId="0" fontId="0" fillId="5" borderId="7" xfId="0" applyFill="1" applyBorder="1"/>
    <xf numFmtId="0" fontId="0" fillId="5" borderId="8" xfId="0" applyFill="1" applyBorder="1"/>
    <xf numFmtId="0" fontId="0" fillId="0" borderId="7" xfId="0" applyBorder="1"/>
    <xf numFmtId="0" fontId="0" fillId="5" borderId="9" xfId="0" applyFill="1" applyBorder="1"/>
    <xf numFmtId="0" fontId="0" fillId="5" borderId="10" xfId="0" applyFill="1" applyBorder="1"/>
    <xf numFmtId="0" fontId="0" fillId="5" borderId="11" xfId="0" applyFill="1" applyBorder="1"/>
    <xf numFmtId="0" fontId="8" fillId="0" borderId="0" xfId="0" applyFont="1"/>
    <xf numFmtId="0" fontId="0" fillId="6" borderId="1" xfId="0" applyFill="1" applyBorder="1"/>
    <xf numFmtId="0" fontId="5" fillId="6" borderId="1" xfId="0" applyFont="1" applyFill="1" applyBorder="1"/>
    <xf numFmtId="1" fontId="0" fillId="0" borderId="1" xfId="0" applyNumberFormat="1" applyBorder="1"/>
    <xf numFmtId="0" fontId="5" fillId="0" borderId="0" xfId="0" applyFont="1" applyAlignment="1">
      <alignment horizontal="centerContinuous"/>
    </xf>
    <xf numFmtId="0" fontId="5" fillId="0" borderId="0" xfId="0" applyFont="1" applyAlignment="1">
      <alignment horizontal="right"/>
    </xf>
    <xf numFmtId="0" fontId="5" fillId="4" borderId="0" xfId="0" applyFont="1" applyFill="1" applyAlignment="1">
      <alignment horizontal="centerContinuous"/>
    </xf>
    <xf numFmtId="0" fontId="0" fillId="4" borderId="0" xfId="0" applyFill="1" applyAlignment="1">
      <alignment horizontal="centerContinuous"/>
    </xf>
    <xf numFmtId="0" fontId="5" fillId="0" borderId="0" xfId="0" applyFont="1" applyAlignment="1">
      <alignment horizontal="center"/>
    </xf>
    <xf numFmtId="0" fontId="0" fillId="0" borderId="0" xfId="0" applyAlignment="1">
      <alignment horizontal="center"/>
    </xf>
    <xf numFmtId="0" fontId="5" fillId="0" borderId="12" xfId="0" applyFont="1" applyBorder="1" applyAlignment="1">
      <alignment horizontal="right"/>
    </xf>
    <xf numFmtId="0" fontId="5" fillId="0" borderId="13" xfId="0" applyFont="1" applyBorder="1" applyAlignment="1">
      <alignment horizontal="right"/>
    </xf>
    <xf numFmtId="165" fontId="0" fillId="0" borderId="1" xfId="0" applyNumberFormat="1" applyBorder="1"/>
    <xf numFmtId="165" fontId="0" fillId="3" borderId="1" xfId="0" applyNumberFormat="1" applyFill="1" applyBorder="1"/>
    <xf numFmtId="14" fontId="0" fillId="0" borderId="0" xfId="0" applyNumberFormat="1"/>
    <xf numFmtId="0" fontId="0" fillId="0" borderId="0" xfId="0" applyAlignment="1">
      <alignment horizontal="right"/>
    </xf>
    <xf numFmtId="166" fontId="0" fillId="6" borderId="1" xfId="2" applyNumberFormat="1" applyFont="1" applyFill="1" applyBorder="1"/>
    <xf numFmtId="10" fontId="0" fillId="6" borderId="1" xfId="2" applyNumberFormat="1" applyFont="1" applyFill="1" applyBorder="1"/>
    <xf numFmtId="0" fontId="5" fillId="0" borderId="6" xfId="0" applyFont="1" applyFill="1" applyBorder="1"/>
    <xf numFmtId="0" fontId="0" fillId="0" borderId="1" xfId="0" applyFill="1" applyBorder="1"/>
    <xf numFmtId="0" fontId="5" fillId="0" borderId="5" xfId="0" applyFont="1" applyFill="1" applyBorder="1"/>
    <xf numFmtId="0" fontId="0" fillId="0" borderId="8" xfId="0" applyBorder="1"/>
    <xf numFmtId="0" fontId="5" fillId="0" borderId="7" xfId="0" applyFont="1" applyBorder="1"/>
    <xf numFmtId="0" fontId="5" fillId="0" borderId="9" xfId="0" applyFont="1" applyBorder="1"/>
    <xf numFmtId="0" fontId="5" fillId="7" borderId="0" xfId="0" applyFont="1" applyFill="1"/>
    <xf numFmtId="0" fontId="0" fillId="7" borderId="0" xfId="0" applyFill="1"/>
    <xf numFmtId="0" fontId="0" fillId="3" borderId="0" xfId="0" applyFill="1"/>
    <xf numFmtId="0" fontId="5" fillId="0" borderId="0" xfId="0" applyFont="1" applyFill="1"/>
    <xf numFmtId="0" fontId="0" fillId="5" borderId="14" xfId="0" applyFill="1" applyBorder="1"/>
    <xf numFmtId="0" fontId="0" fillId="0" borderId="14" xfId="0" applyBorder="1"/>
    <xf numFmtId="0" fontId="0" fillId="5" borderId="14" xfId="0" applyFill="1" applyBorder="1" applyAlignment="1"/>
    <xf numFmtId="0" fontId="0" fillId="5" borderId="15" xfId="0" applyFill="1" applyBorder="1"/>
    <xf numFmtId="0" fontId="0" fillId="5" borderId="16" xfId="0" applyFill="1" applyBorder="1"/>
    <xf numFmtId="0" fontId="0" fillId="0" borderId="16" xfId="0" applyBorder="1"/>
    <xf numFmtId="0" fontId="0" fillId="5" borderId="17" xfId="0" applyFill="1" applyBorder="1"/>
    <xf numFmtId="0" fontId="5" fillId="0" borderId="18" xfId="0" applyFont="1" applyBorder="1"/>
    <xf numFmtId="0" fontId="0" fillId="0" borderId="5" xfId="0" applyBorder="1" applyProtection="1">
      <protection locked="0"/>
    </xf>
    <xf numFmtId="0" fontId="0" fillId="0" borderId="6" xfId="0" applyBorder="1" applyProtection="1">
      <protection locked="0"/>
    </xf>
    <xf numFmtId="14" fontId="0" fillId="0" borderId="1" xfId="0" applyNumberFormat="1" applyBorder="1" applyProtection="1">
      <protection locked="0"/>
    </xf>
    <xf numFmtId="14" fontId="0" fillId="0" borderId="8" xfId="0" applyNumberFormat="1" applyBorder="1" applyProtection="1">
      <protection locked="0"/>
    </xf>
    <xf numFmtId="0" fontId="0" fillId="0" borderId="10" xfId="0" applyBorder="1" applyProtection="1">
      <protection locked="0"/>
    </xf>
    <xf numFmtId="0" fontId="0" fillId="0" borderId="11" xfId="0" applyBorder="1" applyProtection="1">
      <protection locked="0"/>
    </xf>
    <xf numFmtId="0" fontId="0" fillId="5" borderId="4" xfId="0" applyFill="1" applyBorder="1" applyProtection="1">
      <protection locked="0"/>
    </xf>
    <xf numFmtId="0" fontId="0" fillId="5" borderId="6" xfId="0" applyFill="1" applyBorder="1" applyProtection="1">
      <protection locked="0"/>
    </xf>
    <xf numFmtId="0" fontId="0" fillId="0" borderId="7" xfId="0" applyBorder="1" applyProtection="1">
      <protection locked="0"/>
    </xf>
    <xf numFmtId="0" fontId="0" fillId="0" borderId="8" xfId="0" applyBorder="1" applyProtection="1">
      <protection locked="0"/>
    </xf>
    <xf numFmtId="0" fontId="0" fillId="5" borderId="7" xfId="0" applyFill="1" applyBorder="1" applyProtection="1">
      <protection locked="0"/>
    </xf>
    <xf numFmtId="0" fontId="0" fillId="5" borderId="8" xfId="0" applyFill="1" applyBorder="1" applyProtection="1">
      <protection locked="0"/>
    </xf>
    <xf numFmtId="0" fontId="0" fillId="5" borderId="9" xfId="0" applyFill="1" applyBorder="1" applyProtection="1">
      <protection locked="0"/>
    </xf>
    <xf numFmtId="0" fontId="0" fillId="5" borderId="11" xfId="0" applyFill="1" applyBorder="1" applyProtection="1">
      <protection locked="0"/>
    </xf>
    <xf numFmtId="0" fontId="12" fillId="3" borderId="0" xfId="0" applyFont="1" applyFill="1"/>
    <xf numFmtId="0" fontId="9" fillId="0" borderId="0" xfId="0" applyFont="1"/>
    <xf numFmtId="0" fontId="9" fillId="0" borderId="0" xfId="0" applyFont="1" applyAlignment="1"/>
    <xf numFmtId="0" fontId="0" fillId="0" borderId="19" xfId="0" applyBorder="1"/>
    <xf numFmtId="0" fontId="5" fillId="0" borderId="19" xfId="0" applyFont="1" applyBorder="1" applyAlignment="1">
      <alignment horizontal="right"/>
    </xf>
    <xf numFmtId="0" fontId="5" fillId="0" borderId="19" xfId="0" applyFont="1" applyBorder="1"/>
    <xf numFmtId="0" fontId="0" fillId="3" borderId="0" xfId="0" applyFill="1" applyAlignment="1">
      <alignment horizontal="right"/>
    </xf>
    <xf numFmtId="0" fontId="0" fillId="3" borderId="0" xfId="0" applyFill="1" applyAlignment="1">
      <alignment horizontal="left"/>
    </xf>
    <xf numFmtId="0" fontId="0" fillId="0" borderId="0" xfId="0" applyFill="1"/>
  </cellXfs>
  <cellStyles count="3">
    <cellStyle name="Normal" xfId="0" builtinId="0"/>
    <cellStyle name="Normal_Sheet1" xfId="1" xr:uid="{F8E90183-AE21-4FD1-90BD-4425553C0DA8}"/>
    <cellStyle name="Percent" xfId="2" builtinId="5"/>
  </cellStyles>
  <dxfs count="4">
    <dxf>
      <font>
        <b/>
        <i val="0"/>
        <color rgb="FF006100"/>
      </font>
      <fill>
        <patternFill>
          <bgColor rgb="FFC6EFCE"/>
        </patternFill>
      </fill>
    </dxf>
    <dxf>
      <font>
        <b val="0"/>
        <i/>
        <color theme="1" tint="0.499984740745262"/>
      </font>
    </dxf>
    <dxf>
      <font>
        <b val="0"/>
        <i/>
        <color theme="1" tint="0.499984740745262"/>
      </font>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3</xdr:col>
      <xdr:colOff>581025</xdr:colOff>
      <xdr:row>41</xdr:row>
      <xdr:rowOff>47625</xdr:rowOff>
    </xdr:from>
    <xdr:to>
      <xdr:col>11</xdr:col>
      <xdr:colOff>542925</xdr:colOff>
      <xdr:row>50</xdr:row>
      <xdr:rowOff>0</xdr:rowOff>
    </xdr:to>
    <xdr:sp macro="" textlink="">
      <xdr:nvSpPr>
        <xdr:cNvPr id="2" name="TextBox 1">
          <a:extLst>
            <a:ext uri="{FF2B5EF4-FFF2-40B4-BE49-F238E27FC236}">
              <a16:creationId xmlns:a16="http://schemas.microsoft.com/office/drawing/2014/main" id="{2DF1F02D-62DE-4808-B1FC-63A33449E6C3}"/>
            </a:ext>
          </a:extLst>
        </xdr:cNvPr>
        <xdr:cNvSpPr txBox="1"/>
      </xdr:nvSpPr>
      <xdr:spPr>
        <a:xfrm>
          <a:off x="5753100" y="8620125"/>
          <a:ext cx="4838700" cy="1666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Can we automate the Total Habitat Score to reflect the condition definition?</a:t>
          </a:r>
          <a:r>
            <a:rPr lang="en-US" sz="1100" baseline="0"/>
            <a:t> See rabge below:</a:t>
          </a:r>
        </a:p>
        <a:p>
          <a:endParaRPr lang="en-US" sz="1100" baseline="0"/>
        </a:p>
        <a:p>
          <a:r>
            <a:rPr lang="en-US" sz="1100" baseline="0"/>
            <a:t>Excellent: &gt;154</a:t>
          </a:r>
        </a:p>
        <a:p>
          <a:r>
            <a:rPr lang="en-US" sz="1100" baseline="0"/>
            <a:t>Good: 105 - 154</a:t>
          </a:r>
        </a:p>
        <a:p>
          <a:r>
            <a:rPr lang="en-US" sz="1100" baseline="0"/>
            <a:t>Marginal: 56 - 104</a:t>
          </a:r>
        </a:p>
        <a:p>
          <a:r>
            <a:rPr lang="en-US" sz="1100" baseline="0"/>
            <a:t>Poor: &lt;56</a:t>
          </a:r>
          <a:endParaRPr lang="en-US" sz="1100"/>
        </a:p>
      </xdr:txBody>
    </xdr:sp>
    <xdr:clientData/>
  </xdr:twoCellAnchor>
  <xdr:twoCellAnchor>
    <xdr:from>
      <xdr:col>3</xdr:col>
      <xdr:colOff>533400</xdr:colOff>
      <xdr:row>18</xdr:row>
      <xdr:rowOff>161925</xdr:rowOff>
    </xdr:from>
    <xdr:to>
      <xdr:col>12</xdr:col>
      <xdr:colOff>590550</xdr:colOff>
      <xdr:row>39</xdr:row>
      <xdr:rowOff>152400</xdr:rowOff>
    </xdr:to>
    <xdr:sp macro="" textlink="">
      <xdr:nvSpPr>
        <xdr:cNvPr id="3" name="TextBox 2">
          <a:extLst>
            <a:ext uri="{FF2B5EF4-FFF2-40B4-BE49-F238E27FC236}">
              <a16:creationId xmlns:a16="http://schemas.microsoft.com/office/drawing/2014/main" id="{DE692941-FD9F-49BD-973E-06AE37939CCC}"/>
            </a:ext>
          </a:extLst>
        </xdr:cNvPr>
        <xdr:cNvSpPr txBox="1"/>
      </xdr:nvSpPr>
      <xdr:spPr>
        <a:xfrm>
          <a:off x="5705475" y="4162425"/>
          <a:ext cx="5543550" cy="4181475"/>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I've implemented a simple VLOOKUP approach to the</a:t>
          </a:r>
          <a:r>
            <a:rPr lang="en-US" sz="1100" baseline="0"/>
            <a:t> total habitat rating based on the score. For example, for B38, the formula is:</a:t>
          </a:r>
        </a:p>
        <a:p>
          <a:endParaRPr lang="en-US" sz="1100" baseline="0"/>
        </a:p>
        <a:p>
          <a:r>
            <a:rPr lang="en-US" sz="1100" baseline="0"/>
            <a:t>=VLOOKUP(B37,total_habitat_rating_lookup,2,TRUE)</a:t>
          </a:r>
        </a:p>
        <a:p>
          <a:endParaRPr lang="en-US" sz="1100" baseline="0"/>
        </a:p>
        <a:p>
          <a:r>
            <a:rPr lang="en-US" sz="1100" baseline="0"/>
            <a:t>This is doing what is known as an "approximate match". Here's what each parameter means:</a:t>
          </a:r>
        </a:p>
        <a:p>
          <a:endParaRPr lang="en-US" sz="1100" baseline="0"/>
        </a:p>
        <a:p>
          <a:r>
            <a:rPr lang="en-US" sz="1100" b="1" baseline="0"/>
            <a:t>B37</a:t>
          </a:r>
          <a:r>
            <a:rPr lang="en-US" sz="1100" baseline="0"/>
            <a:t> - this is the Total Habitat Score for which we need to lookup the associated condition rating.</a:t>
          </a:r>
        </a:p>
        <a:p>
          <a:endParaRPr lang="en-US" sz="1100" baseline="0"/>
        </a:p>
        <a:p>
          <a:r>
            <a:rPr lang="en-US" sz="1100" b="1" baseline="0">
              <a:solidFill>
                <a:schemeClr val="dk1"/>
              </a:solidFill>
              <a:effectLst/>
              <a:latin typeface="+mn-lt"/>
              <a:ea typeface="+mn-ea"/>
              <a:cs typeface="+mn-cs"/>
            </a:rPr>
            <a:t>total_habitat_rating_lookup </a:t>
          </a:r>
          <a:r>
            <a:rPr lang="en-US" sz="1100" baseline="0">
              <a:solidFill>
                <a:schemeClr val="dk1"/>
              </a:solidFill>
              <a:effectLst/>
              <a:latin typeface="+mn-lt"/>
              <a:ea typeface="+mn-ea"/>
              <a:cs typeface="+mn-cs"/>
            </a:rPr>
            <a:t>- this is a range name associated with the "lookup table" that maps habitate scores to condition ratings. You can find this lookup table range on the Parameters sheet. If you aren't used to working with range names, I'm happy to give some pointers.</a:t>
          </a:r>
        </a:p>
        <a:p>
          <a:endParaRPr lang="en-US" sz="1100" baseline="0">
            <a:solidFill>
              <a:schemeClr val="dk1"/>
            </a:solidFill>
            <a:effectLst/>
            <a:latin typeface="+mn-lt"/>
            <a:ea typeface="+mn-ea"/>
            <a:cs typeface="+mn-cs"/>
          </a:endParaRPr>
        </a:p>
        <a:p>
          <a:r>
            <a:rPr lang="en-US" sz="1100" b="1" baseline="0">
              <a:solidFill>
                <a:schemeClr val="dk1"/>
              </a:solidFill>
              <a:effectLst/>
              <a:latin typeface="+mn-lt"/>
              <a:ea typeface="+mn-ea"/>
              <a:cs typeface="+mn-cs"/>
            </a:rPr>
            <a:t>2</a:t>
          </a:r>
          <a:r>
            <a:rPr lang="en-US" sz="1100" baseline="0">
              <a:solidFill>
                <a:schemeClr val="dk1"/>
              </a:solidFill>
              <a:effectLst/>
              <a:latin typeface="+mn-lt"/>
              <a:ea typeface="+mn-ea"/>
              <a:cs typeface="+mn-cs"/>
            </a:rPr>
            <a:t> - this is the column index from the lookup table that we want to return. If you look at the total_habitat_rating_lookup range you'll see that the score is in the first column of the range and the rating is in the second column. We want to return the rating.</a:t>
          </a:r>
          <a:endParaRPr lang="en-US" sz="1100" baseline="0"/>
        </a:p>
        <a:p>
          <a:endParaRPr lang="en-US" sz="1100" baseline="0"/>
        </a:p>
        <a:p>
          <a:r>
            <a:rPr lang="en-US" sz="1100" b="1" baseline="0"/>
            <a:t>TRUE</a:t>
          </a:r>
          <a:r>
            <a:rPr lang="en-US" sz="1100" baseline="0"/>
            <a:t> - this is the key to making the VLOOKUP do an approximate match (as opposed to an exact match). In order to do approximate matches, the left-most column in the lookup range must be sorted in ascending order. In fact, the TRUE is saying, "Yes, Excel, the left most column is indeed sorted in ascending order".</a:t>
          </a:r>
        </a:p>
        <a:p>
          <a:endParaRPr lang="en-US" sz="1100"/>
        </a:p>
      </xdr:txBody>
    </xdr:sp>
    <xdr:clientData/>
  </xdr:twoCellAnchor>
  <xdr:twoCellAnchor>
    <xdr:from>
      <xdr:col>0</xdr:col>
      <xdr:colOff>209550</xdr:colOff>
      <xdr:row>40</xdr:row>
      <xdr:rowOff>66675</xdr:rowOff>
    </xdr:from>
    <xdr:to>
      <xdr:col>0</xdr:col>
      <xdr:colOff>2095500</xdr:colOff>
      <xdr:row>46</xdr:row>
      <xdr:rowOff>85725</xdr:rowOff>
    </xdr:to>
    <xdr:sp macro="" textlink="">
      <xdr:nvSpPr>
        <xdr:cNvPr id="4" name="TextBox 3">
          <a:extLst>
            <a:ext uri="{FF2B5EF4-FFF2-40B4-BE49-F238E27FC236}">
              <a16:creationId xmlns:a16="http://schemas.microsoft.com/office/drawing/2014/main" id="{7582B9B4-E5FB-4283-9222-BB3C82598146}"/>
            </a:ext>
          </a:extLst>
        </xdr:cNvPr>
        <xdr:cNvSpPr txBox="1"/>
      </xdr:nvSpPr>
      <xdr:spPr>
        <a:xfrm>
          <a:off x="209550" y="8448675"/>
          <a:ext cx="1885950" cy="1162050"/>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are just tests to make sure that the VLOOKUP is working how you want it to near and on the rating boundaries.</a:t>
          </a:r>
        </a:p>
      </xdr:txBody>
    </xdr:sp>
    <xdr:clientData/>
  </xdr:twoCellAnchor>
  <xdr:twoCellAnchor>
    <xdr:from>
      <xdr:col>0</xdr:col>
      <xdr:colOff>2114550</xdr:colOff>
      <xdr:row>42</xdr:row>
      <xdr:rowOff>171450</xdr:rowOff>
    </xdr:from>
    <xdr:to>
      <xdr:col>1</xdr:col>
      <xdr:colOff>371475</xdr:colOff>
      <xdr:row>43</xdr:row>
      <xdr:rowOff>142875</xdr:rowOff>
    </xdr:to>
    <xdr:sp macro="" textlink="">
      <xdr:nvSpPr>
        <xdr:cNvPr id="5" name="Arrow: Right 4">
          <a:extLst>
            <a:ext uri="{FF2B5EF4-FFF2-40B4-BE49-F238E27FC236}">
              <a16:creationId xmlns:a16="http://schemas.microsoft.com/office/drawing/2014/main" id="{3CE05E35-1900-43F5-B053-4937E20FA1BF}"/>
            </a:ext>
          </a:extLst>
        </xdr:cNvPr>
        <xdr:cNvSpPr/>
      </xdr:nvSpPr>
      <xdr:spPr>
        <a:xfrm>
          <a:off x="2114550" y="8934450"/>
          <a:ext cx="647700" cy="161925"/>
        </a:xfrm>
        <a:prstGeom prst="righ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409575</xdr:colOff>
      <xdr:row>186</xdr:row>
      <xdr:rowOff>76200</xdr:rowOff>
    </xdr:from>
    <xdr:to>
      <xdr:col>8</xdr:col>
      <xdr:colOff>638175</xdr:colOff>
      <xdr:row>189</xdr:row>
      <xdr:rowOff>114300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781800" y="33480375"/>
          <a:ext cx="3609975" cy="609600"/>
        </a:xfrm>
        <a:prstGeom prst="rect">
          <a:avLst/>
        </a:prstGeom>
        <a:solidFill>
          <a:schemeClr val="accent4">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 table above could be moved to another</a:t>
          </a:r>
          <a:r>
            <a:rPr lang="en-US" sz="1100" baseline="0"/>
            <a:t> sheet or could stay here. </a:t>
          </a:r>
          <a:endParaRPr lang="en-US" sz="1100"/>
        </a:p>
      </xdr:txBody>
    </xdr:sp>
    <xdr:clientData/>
  </xdr:twoCellAnchor>
  <mc:AlternateContent xmlns:mc="http://schemas.openxmlformats.org/markup-compatibility/2006">
    <mc:Choice xmlns:a14="http://schemas.microsoft.com/office/drawing/2010/main" Requires="a14">
      <xdr:twoCellAnchor>
        <xdr:from>
          <xdr:col>0</xdr:col>
          <xdr:colOff>133350</xdr:colOff>
          <xdr:row>1</xdr:row>
          <xdr:rowOff>152400</xdr:rowOff>
        </xdr:from>
        <xdr:to>
          <xdr:col>0</xdr:col>
          <xdr:colOff>1400175</xdr:colOff>
          <xdr:row>3</xdr:row>
          <xdr:rowOff>19050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Data entry mode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3</xdr:row>
          <xdr:rowOff>104775</xdr:rowOff>
        </xdr:from>
        <xdr:to>
          <xdr:col>0</xdr:col>
          <xdr:colOff>1390650</xdr:colOff>
          <xdr:row>4</xdr:row>
          <xdr:rowOff>171450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Developer mode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12</xdr:col>
      <xdr:colOff>313204</xdr:colOff>
      <xdr:row>19</xdr:row>
      <xdr:rowOff>175372</xdr:rowOff>
    </xdr:from>
    <xdr:to>
      <xdr:col>19</xdr:col>
      <xdr:colOff>146237</xdr:colOff>
      <xdr:row>30</xdr:row>
      <xdr:rowOff>99172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378763" y="3794872"/>
          <a:ext cx="4068856" cy="2019300"/>
        </a:xfrm>
        <a:prstGeom prst="rect">
          <a:avLst/>
        </a:prstGeom>
        <a:solidFill>
          <a:schemeClr val="accent4">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This sheet needs to be completed in that the table to left needs to be extended to include the values for all the ecoregions. I just did it for HELP for now to develop,</a:t>
          </a:r>
          <a:r>
            <a:rPr lang="en-US" sz="1400" b="1" baseline="0"/>
            <a:t> test and illustrate how the computations can be done.</a:t>
          </a:r>
          <a:endParaRPr lang="en-US" sz="1400" b="1"/>
        </a:p>
      </xdr:txBody>
    </xdr:sp>
    <xdr:clientData/>
  </xdr:twoCellAnchor>
  <xdr:twoCellAnchor>
    <xdr:from>
      <xdr:col>3</xdr:col>
      <xdr:colOff>38100</xdr:colOff>
      <xdr:row>16</xdr:row>
      <xdr:rowOff>161925</xdr:rowOff>
    </xdr:from>
    <xdr:to>
      <xdr:col>8</xdr:col>
      <xdr:colOff>19050</xdr:colOff>
      <xdr:row>22</xdr:row>
      <xdr:rowOff>76200</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152650" y="3209925"/>
          <a:ext cx="4438650" cy="1057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IMPORTANT:</a:t>
          </a:r>
          <a:r>
            <a:rPr lang="en-US" sz="1100" b="1" baseline="0"/>
            <a:t> All of the yellow highlighted ranges need to have their values input from the Proc 51 standards. For now, these are just values for the HELP ecoregion that I used as first test caset.</a:t>
          </a:r>
        </a:p>
        <a:p>
          <a:endParaRPr lang="en-US" sz="1100" b="1" baseline="0"/>
        </a:p>
        <a:p>
          <a:r>
            <a:rPr lang="en-US" sz="1100" b="1" baseline="0"/>
            <a:t>Added SMNITP values on 2022-12-30.</a:t>
          </a:r>
          <a:endParaRPr lang="en-US" sz="11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332F1-BCEB-4FC2-9C9E-9F7784AF7C41}">
  <sheetPr codeName="Sheet1"/>
  <dimension ref="A1:C1032229"/>
  <sheetViews>
    <sheetView topLeftCell="A17" workbookViewId="0">
      <selection activeCell="Q28" sqref="Q28"/>
    </sheetView>
  </sheetViews>
  <sheetFormatPr defaultRowHeight="15" x14ac:dyDescent="0.25"/>
  <cols>
    <col min="1" max="1" width="35.85546875" customWidth="1"/>
    <col min="2" max="2" width="23.42578125" style="9" customWidth="1"/>
    <col min="3" max="3" width="18.28515625" style="9" customWidth="1"/>
  </cols>
  <sheetData>
    <row r="1" spans="1:3" ht="30" x14ac:dyDescent="0.25">
      <c r="A1" s="2" t="s">
        <v>164</v>
      </c>
      <c r="B1" s="3" t="s">
        <v>165</v>
      </c>
      <c r="C1" s="3" t="s">
        <v>166</v>
      </c>
    </row>
    <row r="2" spans="1:3" x14ac:dyDescent="0.25">
      <c r="A2" s="2" t="s">
        <v>0</v>
      </c>
      <c r="B2" s="4" t="s">
        <v>167</v>
      </c>
      <c r="C2" s="4" t="s">
        <v>168</v>
      </c>
    </row>
    <row r="3" spans="1:3" x14ac:dyDescent="0.25">
      <c r="A3" s="2" t="s">
        <v>3</v>
      </c>
      <c r="B3" s="5">
        <v>43272</v>
      </c>
      <c r="C3" s="5">
        <v>43272</v>
      </c>
    </row>
    <row r="4" spans="1:3" x14ac:dyDescent="0.25">
      <c r="A4" s="2" t="s">
        <v>169</v>
      </c>
      <c r="B4" s="4" t="s">
        <v>170</v>
      </c>
      <c r="C4" s="4" t="s">
        <v>170</v>
      </c>
    </row>
    <row r="5" spans="1:3" x14ac:dyDescent="0.25">
      <c r="A5" s="2" t="s">
        <v>171</v>
      </c>
      <c r="B5" s="4" t="s">
        <v>172</v>
      </c>
      <c r="C5" s="4" t="s">
        <v>172</v>
      </c>
    </row>
    <row r="6" spans="1:3" x14ac:dyDescent="0.25">
      <c r="A6" s="2" t="s">
        <v>173</v>
      </c>
      <c r="B6" s="4">
        <v>42.6203</v>
      </c>
      <c r="C6" s="4">
        <v>42.623930000000001</v>
      </c>
    </row>
    <row r="7" spans="1:3" x14ac:dyDescent="0.25">
      <c r="A7" s="2" t="s">
        <v>174</v>
      </c>
      <c r="B7" s="4">
        <v>-82.935000000000002</v>
      </c>
      <c r="C7" s="4">
        <v>-82.949489999999997</v>
      </c>
    </row>
    <row r="8" spans="1:3" x14ac:dyDescent="0.25">
      <c r="A8" s="2" t="s">
        <v>175</v>
      </c>
      <c r="B8" s="4" t="s">
        <v>176</v>
      </c>
      <c r="C8" s="4" t="s">
        <v>176</v>
      </c>
    </row>
    <row r="9" spans="1:3" x14ac:dyDescent="0.25">
      <c r="A9" s="2" t="s">
        <v>177</v>
      </c>
      <c r="B9" s="4" t="s">
        <v>178</v>
      </c>
      <c r="C9" s="4" t="s">
        <v>178</v>
      </c>
    </row>
    <row r="10" spans="1:3" x14ac:dyDescent="0.25">
      <c r="A10" s="2" t="s">
        <v>179</v>
      </c>
      <c r="B10" s="4" t="s">
        <v>180</v>
      </c>
      <c r="C10" s="4" t="s">
        <v>180</v>
      </c>
    </row>
    <row r="11" spans="1:3" x14ac:dyDescent="0.25">
      <c r="A11" s="2" t="s">
        <v>181</v>
      </c>
      <c r="B11" s="6">
        <v>83</v>
      </c>
      <c r="C11" s="6">
        <v>83</v>
      </c>
    </row>
    <row r="12" spans="1:3" x14ac:dyDescent="0.25">
      <c r="A12" s="2" t="s">
        <v>182</v>
      </c>
      <c r="B12" s="4" t="s">
        <v>183</v>
      </c>
      <c r="C12" s="4" t="s">
        <v>183</v>
      </c>
    </row>
    <row r="13" spans="1:3" ht="45" x14ac:dyDescent="0.25">
      <c r="A13" s="2" t="s">
        <v>184</v>
      </c>
      <c r="B13" s="4" t="s">
        <v>185</v>
      </c>
      <c r="C13" s="4" t="s">
        <v>186</v>
      </c>
    </row>
    <row r="14" spans="1:3" x14ac:dyDescent="0.25">
      <c r="A14" s="2" t="s">
        <v>187</v>
      </c>
      <c r="B14" s="6">
        <v>30</v>
      </c>
      <c r="C14" s="6">
        <v>20</v>
      </c>
    </row>
    <row r="15" spans="1:3" x14ac:dyDescent="0.25">
      <c r="A15" s="2" t="s">
        <v>188</v>
      </c>
      <c r="B15" s="6">
        <v>2</v>
      </c>
      <c r="C15" s="6">
        <v>2</v>
      </c>
    </row>
    <row r="16" spans="1:3" x14ac:dyDescent="0.25">
      <c r="A16" s="2" t="s">
        <v>189</v>
      </c>
      <c r="B16" s="6">
        <v>1</v>
      </c>
      <c r="C16" s="6">
        <v>0.5</v>
      </c>
    </row>
    <row r="17" spans="1:3" x14ac:dyDescent="0.25">
      <c r="A17" s="2" t="s">
        <v>190</v>
      </c>
      <c r="B17" s="6">
        <v>60</v>
      </c>
      <c r="C17" s="6">
        <v>20</v>
      </c>
    </row>
    <row r="18" spans="1:3" x14ac:dyDescent="0.25">
      <c r="A18" s="2" t="s">
        <v>191</v>
      </c>
      <c r="B18" s="6">
        <v>150</v>
      </c>
      <c r="C18" s="6">
        <v>150</v>
      </c>
    </row>
    <row r="19" spans="1:3" ht="30" x14ac:dyDescent="0.25">
      <c r="A19" s="2" t="s">
        <v>192</v>
      </c>
      <c r="B19" s="4" t="s">
        <v>193</v>
      </c>
      <c r="C19" s="4" t="s">
        <v>194</v>
      </c>
    </row>
    <row r="20" spans="1:3" x14ac:dyDescent="0.25">
      <c r="A20" s="2" t="s">
        <v>195</v>
      </c>
      <c r="B20" s="7">
        <v>0.1</v>
      </c>
      <c r="C20" s="7">
        <v>0.2</v>
      </c>
    </row>
    <row r="21" spans="1:3" x14ac:dyDescent="0.25">
      <c r="A21" s="2" t="s">
        <v>196</v>
      </c>
      <c r="B21" s="6">
        <v>72</v>
      </c>
      <c r="C21" s="6">
        <v>72</v>
      </c>
    </row>
    <row r="22" spans="1:3" x14ac:dyDescent="0.25">
      <c r="A22" s="2" t="s">
        <v>197</v>
      </c>
      <c r="B22" s="4" t="s">
        <v>198</v>
      </c>
      <c r="C22" s="4" t="s">
        <v>198</v>
      </c>
    </row>
    <row r="23" spans="1:3" x14ac:dyDescent="0.25">
      <c r="A23" s="2" t="s">
        <v>199</v>
      </c>
      <c r="B23" s="6">
        <v>10</v>
      </c>
      <c r="C23" s="6">
        <v>15</v>
      </c>
    </row>
    <row r="24" spans="1:3" x14ac:dyDescent="0.25">
      <c r="A24" s="2" t="s">
        <v>200</v>
      </c>
      <c r="B24" s="6">
        <v>11</v>
      </c>
      <c r="C24" s="6">
        <v>18</v>
      </c>
    </row>
    <row r="25" spans="1:3" x14ac:dyDescent="0.25">
      <c r="A25" s="2" t="s">
        <v>201</v>
      </c>
      <c r="B25" s="6">
        <v>10</v>
      </c>
      <c r="C25" s="6">
        <v>14</v>
      </c>
    </row>
    <row r="26" spans="1:3" x14ac:dyDescent="0.25">
      <c r="A26" s="2" t="s">
        <v>202</v>
      </c>
      <c r="B26" s="6">
        <v>13</v>
      </c>
      <c r="C26" s="6">
        <v>12</v>
      </c>
    </row>
    <row r="27" spans="1:3" x14ac:dyDescent="0.25">
      <c r="A27" s="2" t="s">
        <v>203</v>
      </c>
      <c r="B27" s="6">
        <v>8</v>
      </c>
      <c r="C27" s="6">
        <v>8</v>
      </c>
    </row>
    <row r="28" spans="1:3" x14ac:dyDescent="0.25">
      <c r="A28" s="2" t="s">
        <v>204</v>
      </c>
      <c r="B28" s="6">
        <v>5</v>
      </c>
      <c r="C28" s="6">
        <v>6</v>
      </c>
    </row>
    <row r="29" spans="1:3" x14ac:dyDescent="0.25">
      <c r="A29" s="2" t="s">
        <v>205</v>
      </c>
      <c r="B29" s="6">
        <v>10</v>
      </c>
      <c r="C29" s="6">
        <v>17</v>
      </c>
    </row>
    <row r="30" spans="1:3" x14ac:dyDescent="0.25">
      <c r="A30" s="2" t="s">
        <v>206</v>
      </c>
      <c r="B30" s="6">
        <v>10</v>
      </c>
      <c r="C30" s="6">
        <v>13</v>
      </c>
    </row>
    <row r="31" spans="1:3" x14ac:dyDescent="0.25">
      <c r="A31" s="2" t="s">
        <v>207</v>
      </c>
      <c r="B31" s="6">
        <v>10</v>
      </c>
      <c r="C31" s="6">
        <v>9</v>
      </c>
    </row>
    <row r="32" spans="1:3" x14ac:dyDescent="0.25">
      <c r="A32" s="2" t="s">
        <v>208</v>
      </c>
      <c r="B32" s="6">
        <v>10</v>
      </c>
      <c r="C32" s="6">
        <v>9</v>
      </c>
    </row>
    <row r="33" spans="1:3" x14ac:dyDescent="0.25">
      <c r="A33" s="2" t="s">
        <v>209</v>
      </c>
      <c r="B33" s="6">
        <v>7</v>
      </c>
      <c r="C33" s="6">
        <v>8</v>
      </c>
    </row>
    <row r="34" spans="1:3" x14ac:dyDescent="0.25">
      <c r="A34" s="2" t="s">
        <v>210</v>
      </c>
      <c r="B34" s="6">
        <v>7</v>
      </c>
      <c r="C34" s="6">
        <v>9</v>
      </c>
    </row>
    <row r="35" spans="1:3" x14ac:dyDescent="0.25">
      <c r="A35" s="8" t="s">
        <v>211</v>
      </c>
      <c r="B35" s="6">
        <v>10</v>
      </c>
      <c r="C35" s="6">
        <v>4</v>
      </c>
    </row>
    <row r="36" spans="1:3" x14ac:dyDescent="0.25">
      <c r="A36" s="2" t="s">
        <v>212</v>
      </c>
      <c r="B36" s="6">
        <v>10</v>
      </c>
      <c r="C36" s="6">
        <v>4</v>
      </c>
    </row>
    <row r="37" spans="1:3" x14ac:dyDescent="0.25">
      <c r="A37" s="2" t="s">
        <v>213</v>
      </c>
      <c r="B37" s="6">
        <f>SUM(B23:B36)</f>
        <v>131</v>
      </c>
      <c r="C37" s="6">
        <f t="shared" ref="C37" si="0">SUM(C23:C36)</f>
        <v>146</v>
      </c>
    </row>
    <row r="38" spans="1:3" x14ac:dyDescent="0.25">
      <c r="B38" s="9" t="str">
        <f>VLOOKUP(B37,total_habitat_rating_lookup,2,TRUE)</f>
        <v>Good</v>
      </c>
      <c r="C38" s="9" t="str">
        <f>VLOOKUP(C37,total_habitat_rating_lookup,2,TRUE)</f>
        <v>Good</v>
      </c>
    </row>
    <row r="40" spans="1:3" x14ac:dyDescent="0.25">
      <c r="B40" s="83">
        <v>55</v>
      </c>
      <c r="C40" s="84" t="str">
        <f>VLOOKUP(B40,total_habitat_rating_lookup,2,TRUE)</f>
        <v>Poor</v>
      </c>
    </row>
    <row r="41" spans="1:3" x14ac:dyDescent="0.25">
      <c r="B41" s="83">
        <v>56</v>
      </c>
      <c r="C41" s="84" t="str">
        <f>VLOOKUP(B41,total_habitat_rating_lookup,2,TRUE)</f>
        <v>Marginal</v>
      </c>
    </row>
    <row r="42" spans="1:3" x14ac:dyDescent="0.25">
      <c r="B42" s="83">
        <v>57</v>
      </c>
      <c r="C42" s="84" t="str">
        <f>VLOOKUP(B42,total_habitat_rating_lookup,2,TRUE)</f>
        <v>Marginal</v>
      </c>
    </row>
    <row r="43" spans="1:3" x14ac:dyDescent="0.25">
      <c r="B43" s="83">
        <v>103</v>
      </c>
      <c r="C43" s="84" t="str">
        <f>VLOOKUP(B43,total_habitat_rating_lookup,2,TRUE)</f>
        <v>Marginal</v>
      </c>
    </row>
    <row r="44" spans="1:3" x14ac:dyDescent="0.25">
      <c r="B44" s="83">
        <v>104</v>
      </c>
      <c r="C44" s="84" t="str">
        <f>VLOOKUP(B44,total_habitat_rating_lookup,2,TRUE)</f>
        <v>Marginal</v>
      </c>
    </row>
    <row r="45" spans="1:3" x14ac:dyDescent="0.25">
      <c r="B45" s="83">
        <v>105</v>
      </c>
      <c r="C45" s="84" t="str">
        <f>VLOOKUP(B45,total_habitat_rating_lookup,2,TRUE)</f>
        <v>Good</v>
      </c>
    </row>
    <row r="46" spans="1:3" x14ac:dyDescent="0.25">
      <c r="B46" s="83">
        <v>153</v>
      </c>
      <c r="C46" s="84" t="str">
        <f>VLOOKUP(B46,total_habitat_rating_lookup,2,TRUE)</f>
        <v>Good</v>
      </c>
    </row>
    <row r="47" spans="1:3" x14ac:dyDescent="0.25">
      <c r="B47" s="83">
        <v>154</v>
      </c>
      <c r="C47" s="84" t="str">
        <f>VLOOKUP(B47,total_habitat_rating_lookup,2,TRUE)</f>
        <v>Good</v>
      </c>
    </row>
    <row r="48" spans="1:3" x14ac:dyDescent="0.25">
      <c r="B48" s="83">
        <v>155</v>
      </c>
      <c r="C48" s="84" t="str">
        <f>VLOOKUP(B48,total_habitat_rating_lookup,2,TRUE)</f>
        <v>Excellent</v>
      </c>
    </row>
    <row r="49" spans="2:3" x14ac:dyDescent="0.25">
      <c r="B49" s="83">
        <v>156</v>
      </c>
      <c r="C49" s="84" t="str">
        <f>VLOOKUP(B49,total_habitat_rating_lookup,2,TRUE)</f>
        <v>Excellent</v>
      </c>
    </row>
    <row r="50" spans="2:3" x14ac:dyDescent="0.25">
      <c r="B50" s="83">
        <v>200</v>
      </c>
      <c r="C50" s="84" t="str">
        <f>VLOOKUP(B50,total_habitat_rating_lookup,2,TRUE)</f>
        <v>Excellent</v>
      </c>
    </row>
    <row r="16385" spans="3:3" ht="30" x14ac:dyDescent="0.25">
      <c r="C16385" s="10" t="s">
        <v>214</v>
      </c>
    </row>
    <row r="16386" spans="3:3" x14ac:dyDescent="0.25">
      <c r="C16386" s="10" t="s">
        <v>215</v>
      </c>
    </row>
    <row r="16387" spans="3:3" x14ac:dyDescent="0.25">
      <c r="C16387" s="11">
        <v>42166</v>
      </c>
    </row>
    <row r="16388" spans="3:3" x14ac:dyDescent="0.25">
      <c r="C16388" s="10" t="s">
        <v>216</v>
      </c>
    </row>
    <row r="16389" spans="3:3" ht="30" x14ac:dyDescent="0.25">
      <c r="C16389" s="10" t="s">
        <v>217</v>
      </c>
    </row>
    <row r="16390" spans="3:3" x14ac:dyDescent="0.25">
      <c r="C16390" s="10" t="s">
        <v>218</v>
      </c>
    </row>
    <row r="16391" spans="3:3" x14ac:dyDescent="0.25">
      <c r="C16391" s="10" t="s">
        <v>218</v>
      </c>
    </row>
    <row r="16392" spans="3:3" x14ac:dyDescent="0.25">
      <c r="C16392" s="10" t="s">
        <v>219</v>
      </c>
    </row>
    <row r="16393" spans="3:3" x14ac:dyDescent="0.25">
      <c r="C16393" s="10" t="s">
        <v>220</v>
      </c>
    </row>
    <row r="16394" spans="3:3" x14ac:dyDescent="0.25">
      <c r="C16394" s="10" t="s">
        <v>221</v>
      </c>
    </row>
    <row r="16395" spans="3:3" x14ac:dyDescent="0.25">
      <c r="C16395" s="10" t="s">
        <v>222</v>
      </c>
    </row>
    <row r="16396" spans="3:3" x14ac:dyDescent="0.25">
      <c r="C16396" s="10" t="s">
        <v>183</v>
      </c>
    </row>
    <row r="16397" spans="3:3" ht="30" x14ac:dyDescent="0.25">
      <c r="C16397" s="10" t="s">
        <v>223</v>
      </c>
    </row>
    <row r="16398" spans="3:3" x14ac:dyDescent="0.25">
      <c r="C16398" s="10" t="s">
        <v>224</v>
      </c>
    </row>
    <row r="16399" spans="3:3" x14ac:dyDescent="0.25">
      <c r="C16399" s="10" t="s">
        <v>225</v>
      </c>
    </row>
    <row r="16400" spans="3:3" x14ac:dyDescent="0.25">
      <c r="C16400" s="10" t="s">
        <v>226</v>
      </c>
    </row>
    <row r="16401" spans="3:3" x14ac:dyDescent="0.25">
      <c r="C16401" s="10" t="s">
        <v>227</v>
      </c>
    </row>
    <row r="16402" spans="3:3" x14ac:dyDescent="0.25">
      <c r="C16402" s="10" t="s">
        <v>228</v>
      </c>
    </row>
    <row r="16403" spans="3:3" x14ac:dyDescent="0.25">
      <c r="C16403" s="10" t="s">
        <v>229</v>
      </c>
    </row>
    <row r="16404" spans="3:3" x14ac:dyDescent="0.25">
      <c r="C16404" s="12">
        <v>0.05</v>
      </c>
    </row>
    <row r="16405" spans="3:3" x14ac:dyDescent="0.25">
      <c r="C16405" s="10" t="s">
        <v>230</v>
      </c>
    </row>
    <row r="16406" spans="3:3" x14ac:dyDescent="0.25">
      <c r="C16406" s="10" t="s">
        <v>231</v>
      </c>
    </row>
    <row r="16407" spans="3:3" x14ac:dyDescent="0.25">
      <c r="C16407" s="10">
        <v>16</v>
      </c>
    </row>
    <row r="16408" spans="3:3" x14ac:dyDescent="0.25">
      <c r="C16408" s="10">
        <v>12</v>
      </c>
    </row>
    <row r="16409" spans="3:3" x14ac:dyDescent="0.25">
      <c r="C16409" s="10">
        <v>14</v>
      </c>
    </row>
    <row r="16410" spans="3:3" x14ac:dyDescent="0.25">
      <c r="C16410" s="10">
        <v>12</v>
      </c>
    </row>
    <row r="16411" spans="3:3" x14ac:dyDescent="0.25">
      <c r="C16411" s="10">
        <v>8</v>
      </c>
    </row>
    <row r="16412" spans="3:3" x14ac:dyDescent="0.25">
      <c r="C16412" s="10">
        <v>2</v>
      </c>
    </row>
    <row r="16413" spans="3:3" x14ac:dyDescent="0.25">
      <c r="C16413" s="10">
        <v>18</v>
      </c>
    </row>
    <row r="16414" spans="3:3" x14ac:dyDescent="0.25">
      <c r="C16414" s="10">
        <v>17</v>
      </c>
    </row>
    <row r="16415" spans="3:3" x14ac:dyDescent="0.25">
      <c r="C16415" s="10">
        <v>3</v>
      </c>
    </row>
    <row r="16416" spans="3:3" x14ac:dyDescent="0.25">
      <c r="C16416" s="10">
        <v>2</v>
      </c>
    </row>
    <row r="16417" spans="3:3" x14ac:dyDescent="0.25">
      <c r="C16417" s="10">
        <v>9</v>
      </c>
    </row>
    <row r="16418" spans="3:3" x14ac:dyDescent="0.25">
      <c r="C16418" s="10">
        <v>9</v>
      </c>
    </row>
    <row r="16419" spans="3:3" x14ac:dyDescent="0.25">
      <c r="C16419" s="10">
        <v>7</v>
      </c>
    </row>
    <row r="16420" spans="3:3" x14ac:dyDescent="0.25">
      <c r="C16420" s="10">
        <v>7</v>
      </c>
    </row>
    <row r="16421" spans="3:3" x14ac:dyDescent="0.25">
      <c r="C16421" s="10">
        <v>136</v>
      </c>
    </row>
    <row r="32769" spans="3:3" ht="30" x14ac:dyDescent="0.25">
      <c r="C32769" s="10" t="s">
        <v>214</v>
      </c>
    </row>
    <row r="32770" spans="3:3" x14ac:dyDescent="0.25">
      <c r="C32770" s="10" t="s">
        <v>215</v>
      </c>
    </row>
    <row r="32771" spans="3:3" x14ac:dyDescent="0.25">
      <c r="C32771" s="11">
        <v>42166</v>
      </c>
    </row>
    <row r="32772" spans="3:3" x14ac:dyDescent="0.25">
      <c r="C32772" s="10" t="s">
        <v>216</v>
      </c>
    </row>
    <row r="32773" spans="3:3" ht="30" x14ac:dyDescent="0.25">
      <c r="C32773" s="10" t="s">
        <v>217</v>
      </c>
    </row>
    <row r="32774" spans="3:3" x14ac:dyDescent="0.25">
      <c r="C32774" s="10" t="s">
        <v>218</v>
      </c>
    </row>
    <row r="32775" spans="3:3" x14ac:dyDescent="0.25">
      <c r="C32775" s="10" t="s">
        <v>218</v>
      </c>
    </row>
    <row r="32776" spans="3:3" x14ac:dyDescent="0.25">
      <c r="C32776" s="10" t="s">
        <v>219</v>
      </c>
    </row>
    <row r="32777" spans="3:3" x14ac:dyDescent="0.25">
      <c r="C32777" s="10" t="s">
        <v>220</v>
      </c>
    </row>
    <row r="32778" spans="3:3" x14ac:dyDescent="0.25">
      <c r="C32778" s="10" t="s">
        <v>221</v>
      </c>
    </row>
    <row r="32779" spans="3:3" x14ac:dyDescent="0.25">
      <c r="C32779" s="10" t="s">
        <v>222</v>
      </c>
    </row>
    <row r="32780" spans="3:3" x14ac:dyDescent="0.25">
      <c r="C32780" s="10" t="s">
        <v>183</v>
      </c>
    </row>
    <row r="32781" spans="3:3" ht="30" x14ac:dyDescent="0.25">
      <c r="C32781" s="10" t="s">
        <v>223</v>
      </c>
    </row>
    <row r="32782" spans="3:3" x14ac:dyDescent="0.25">
      <c r="C32782" s="10" t="s">
        <v>224</v>
      </c>
    </row>
    <row r="32783" spans="3:3" x14ac:dyDescent="0.25">
      <c r="C32783" s="10" t="s">
        <v>225</v>
      </c>
    </row>
    <row r="32784" spans="3:3" x14ac:dyDescent="0.25">
      <c r="C32784" s="10" t="s">
        <v>226</v>
      </c>
    </row>
    <row r="32785" spans="3:3" x14ac:dyDescent="0.25">
      <c r="C32785" s="10" t="s">
        <v>227</v>
      </c>
    </row>
    <row r="32786" spans="3:3" x14ac:dyDescent="0.25">
      <c r="C32786" s="10" t="s">
        <v>228</v>
      </c>
    </row>
    <row r="32787" spans="3:3" x14ac:dyDescent="0.25">
      <c r="C32787" s="10" t="s">
        <v>229</v>
      </c>
    </row>
    <row r="32788" spans="3:3" x14ac:dyDescent="0.25">
      <c r="C32788" s="12">
        <v>0.05</v>
      </c>
    </row>
    <row r="32789" spans="3:3" x14ac:dyDescent="0.25">
      <c r="C32789" s="10" t="s">
        <v>230</v>
      </c>
    </row>
    <row r="32790" spans="3:3" x14ac:dyDescent="0.25">
      <c r="C32790" s="10" t="s">
        <v>231</v>
      </c>
    </row>
    <row r="32791" spans="3:3" x14ac:dyDescent="0.25">
      <c r="C32791" s="10">
        <v>16</v>
      </c>
    </row>
    <row r="32792" spans="3:3" x14ac:dyDescent="0.25">
      <c r="C32792" s="10">
        <v>12</v>
      </c>
    </row>
    <row r="32793" spans="3:3" x14ac:dyDescent="0.25">
      <c r="C32793" s="10">
        <v>14</v>
      </c>
    </row>
    <row r="32794" spans="3:3" x14ac:dyDescent="0.25">
      <c r="C32794" s="10">
        <v>12</v>
      </c>
    </row>
    <row r="32795" spans="3:3" x14ac:dyDescent="0.25">
      <c r="C32795" s="10">
        <v>8</v>
      </c>
    </row>
    <row r="32796" spans="3:3" x14ac:dyDescent="0.25">
      <c r="C32796" s="10">
        <v>2</v>
      </c>
    </row>
    <row r="32797" spans="3:3" x14ac:dyDescent="0.25">
      <c r="C32797" s="10">
        <v>18</v>
      </c>
    </row>
    <row r="32798" spans="3:3" x14ac:dyDescent="0.25">
      <c r="C32798" s="10">
        <v>17</v>
      </c>
    </row>
    <row r="32799" spans="3:3" x14ac:dyDescent="0.25">
      <c r="C32799" s="10">
        <v>3</v>
      </c>
    </row>
    <row r="32800" spans="3:3" x14ac:dyDescent="0.25">
      <c r="C32800" s="10">
        <v>2</v>
      </c>
    </row>
    <row r="32801" spans="3:3" x14ac:dyDescent="0.25">
      <c r="C32801" s="10">
        <v>9</v>
      </c>
    </row>
    <row r="32802" spans="3:3" x14ac:dyDescent="0.25">
      <c r="C32802" s="10">
        <v>9</v>
      </c>
    </row>
    <row r="32803" spans="3:3" x14ac:dyDescent="0.25">
      <c r="C32803" s="10">
        <v>7</v>
      </c>
    </row>
    <row r="32804" spans="3:3" x14ac:dyDescent="0.25">
      <c r="C32804" s="10">
        <v>7</v>
      </c>
    </row>
    <row r="32805" spans="3:3" x14ac:dyDescent="0.25">
      <c r="C32805" s="10">
        <v>136</v>
      </c>
    </row>
    <row r="49153" spans="3:3" ht="30" x14ac:dyDescent="0.25">
      <c r="C49153" s="10" t="s">
        <v>214</v>
      </c>
    </row>
    <row r="49154" spans="3:3" x14ac:dyDescent="0.25">
      <c r="C49154" s="10" t="s">
        <v>215</v>
      </c>
    </row>
    <row r="49155" spans="3:3" x14ac:dyDescent="0.25">
      <c r="C49155" s="11">
        <v>42166</v>
      </c>
    </row>
    <row r="49156" spans="3:3" x14ac:dyDescent="0.25">
      <c r="C49156" s="10" t="s">
        <v>216</v>
      </c>
    </row>
    <row r="49157" spans="3:3" ht="30" x14ac:dyDescent="0.25">
      <c r="C49157" s="10" t="s">
        <v>217</v>
      </c>
    </row>
    <row r="49158" spans="3:3" x14ac:dyDescent="0.25">
      <c r="C49158" s="10" t="s">
        <v>218</v>
      </c>
    </row>
    <row r="49159" spans="3:3" x14ac:dyDescent="0.25">
      <c r="C49159" s="10" t="s">
        <v>218</v>
      </c>
    </row>
    <row r="49160" spans="3:3" x14ac:dyDescent="0.25">
      <c r="C49160" s="10" t="s">
        <v>219</v>
      </c>
    </row>
    <row r="49161" spans="3:3" x14ac:dyDescent="0.25">
      <c r="C49161" s="10" t="s">
        <v>220</v>
      </c>
    </row>
    <row r="49162" spans="3:3" x14ac:dyDescent="0.25">
      <c r="C49162" s="10" t="s">
        <v>221</v>
      </c>
    </row>
    <row r="49163" spans="3:3" x14ac:dyDescent="0.25">
      <c r="C49163" s="10" t="s">
        <v>222</v>
      </c>
    </row>
    <row r="49164" spans="3:3" x14ac:dyDescent="0.25">
      <c r="C49164" s="10" t="s">
        <v>183</v>
      </c>
    </row>
    <row r="49165" spans="3:3" ht="30" x14ac:dyDescent="0.25">
      <c r="C49165" s="10" t="s">
        <v>223</v>
      </c>
    </row>
    <row r="49166" spans="3:3" x14ac:dyDescent="0.25">
      <c r="C49166" s="10" t="s">
        <v>224</v>
      </c>
    </row>
    <row r="49167" spans="3:3" x14ac:dyDescent="0.25">
      <c r="C49167" s="10" t="s">
        <v>225</v>
      </c>
    </row>
    <row r="49168" spans="3:3" x14ac:dyDescent="0.25">
      <c r="C49168" s="10" t="s">
        <v>226</v>
      </c>
    </row>
    <row r="49169" spans="3:3" x14ac:dyDescent="0.25">
      <c r="C49169" s="10" t="s">
        <v>227</v>
      </c>
    </row>
    <row r="49170" spans="3:3" x14ac:dyDescent="0.25">
      <c r="C49170" s="10" t="s">
        <v>228</v>
      </c>
    </row>
    <row r="49171" spans="3:3" x14ac:dyDescent="0.25">
      <c r="C49171" s="10" t="s">
        <v>229</v>
      </c>
    </row>
    <row r="49172" spans="3:3" x14ac:dyDescent="0.25">
      <c r="C49172" s="12">
        <v>0.05</v>
      </c>
    </row>
    <row r="49173" spans="3:3" x14ac:dyDescent="0.25">
      <c r="C49173" s="10" t="s">
        <v>230</v>
      </c>
    </row>
    <row r="49174" spans="3:3" x14ac:dyDescent="0.25">
      <c r="C49174" s="10" t="s">
        <v>231</v>
      </c>
    </row>
    <row r="49175" spans="3:3" x14ac:dyDescent="0.25">
      <c r="C49175" s="10">
        <v>16</v>
      </c>
    </row>
    <row r="49176" spans="3:3" x14ac:dyDescent="0.25">
      <c r="C49176" s="10">
        <v>12</v>
      </c>
    </row>
    <row r="49177" spans="3:3" x14ac:dyDescent="0.25">
      <c r="C49177" s="10">
        <v>14</v>
      </c>
    </row>
    <row r="49178" spans="3:3" x14ac:dyDescent="0.25">
      <c r="C49178" s="10">
        <v>12</v>
      </c>
    </row>
    <row r="49179" spans="3:3" x14ac:dyDescent="0.25">
      <c r="C49179" s="10">
        <v>8</v>
      </c>
    </row>
    <row r="49180" spans="3:3" x14ac:dyDescent="0.25">
      <c r="C49180" s="10">
        <v>2</v>
      </c>
    </row>
    <row r="49181" spans="3:3" x14ac:dyDescent="0.25">
      <c r="C49181" s="10">
        <v>18</v>
      </c>
    </row>
    <row r="49182" spans="3:3" x14ac:dyDescent="0.25">
      <c r="C49182" s="10">
        <v>17</v>
      </c>
    </row>
    <row r="49183" spans="3:3" x14ac:dyDescent="0.25">
      <c r="C49183" s="10">
        <v>3</v>
      </c>
    </row>
    <row r="49184" spans="3:3" x14ac:dyDescent="0.25">
      <c r="C49184" s="10">
        <v>2</v>
      </c>
    </row>
    <row r="49185" spans="3:3" x14ac:dyDescent="0.25">
      <c r="C49185" s="10">
        <v>9</v>
      </c>
    </row>
    <row r="49186" spans="3:3" x14ac:dyDescent="0.25">
      <c r="C49186" s="10">
        <v>9</v>
      </c>
    </row>
    <row r="49187" spans="3:3" x14ac:dyDescent="0.25">
      <c r="C49187" s="10">
        <v>7</v>
      </c>
    </row>
    <row r="49188" spans="3:3" x14ac:dyDescent="0.25">
      <c r="C49188" s="10">
        <v>7</v>
      </c>
    </row>
    <row r="49189" spans="3:3" x14ac:dyDescent="0.25">
      <c r="C49189" s="10">
        <v>136</v>
      </c>
    </row>
    <row r="65537" spans="3:3" ht="30" x14ac:dyDescent="0.25">
      <c r="C65537" s="10" t="s">
        <v>214</v>
      </c>
    </row>
    <row r="65538" spans="3:3" x14ac:dyDescent="0.25">
      <c r="C65538" s="10" t="s">
        <v>215</v>
      </c>
    </row>
    <row r="65539" spans="3:3" x14ac:dyDescent="0.25">
      <c r="C65539" s="11">
        <v>42166</v>
      </c>
    </row>
    <row r="65540" spans="3:3" x14ac:dyDescent="0.25">
      <c r="C65540" s="10" t="s">
        <v>216</v>
      </c>
    </row>
    <row r="65541" spans="3:3" ht="30" x14ac:dyDescent="0.25">
      <c r="C65541" s="10" t="s">
        <v>217</v>
      </c>
    </row>
    <row r="65542" spans="3:3" x14ac:dyDescent="0.25">
      <c r="C65542" s="10" t="s">
        <v>218</v>
      </c>
    </row>
    <row r="65543" spans="3:3" x14ac:dyDescent="0.25">
      <c r="C65543" s="10" t="s">
        <v>218</v>
      </c>
    </row>
    <row r="65544" spans="3:3" x14ac:dyDescent="0.25">
      <c r="C65544" s="10" t="s">
        <v>219</v>
      </c>
    </row>
    <row r="65545" spans="3:3" x14ac:dyDescent="0.25">
      <c r="C65545" s="10" t="s">
        <v>220</v>
      </c>
    </row>
    <row r="65546" spans="3:3" x14ac:dyDescent="0.25">
      <c r="C65546" s="10" t="s">
        <v>221</v>
      </c>
    </row>
    <row r="65547" spans="3:3" x14ac:dyDescent="0.25">
      <c r="C65547" s="10" t="s">
        <v>222</v>
      </c>
    </row>
    <row r="65548" spans="3:3" x14ac:dyDescent="0.25">
      <c r="C65548" s="10" t="s">
        <v>183</v>
      </c>
    </row>
    <row r="65549" spans="3:3" ht="30" x14ac:dyDescent="0.25">
      <c r="C65549" s="10" t="s">
        <v>223</v>
      </c>
    </row>
    <row r="65550" spans="3:3" x14ac:dyDescent="0.25">
      <c r="C65550" s="10" t="s">
        <v>224</v>
      </c>
    </row>
    <row r="65551" spans="3:3" x14ac:dyDescent="0.25">
      <c r="C65551" s="10" t="s">
        <v>225</v>
      </c>
    </row>
    <row r="65552" spans="3:3" x14ac:dyDescent="0.25">
      <c r="C65552" s="10" t="s">
        <v>226</v>
      </c>
    </row>
    <row r="65553" spans="3:3" x14ac:dyDescent="0.25">
      <c r="C65553" s="10" t="s">
        <v>227</v>
      </c>
    </row>
    <row r="65554" spans="3:3" x14ac:dyDescent="0.25">
      <c r="C65554" s="10" t="s">
        <v>228</v>
      </c>
    </row>
    <row r="65555" spans="3:3" x14ac:dyDescent="0.25">
      <c r="C65555" s="10" t="s">
        <v>229</v>
      </c>
    </row>
    <row r="65556" spans="3:3" x14ac:dyDescent="0.25">
      <c r="C65556" s="12">
        <v>0.05</v>
      </c>
    </row>
    <row r="65557" spans="3:3" x14ac:dyDescent="0.25">
      <c r="C65557" s="10" t="s">
        <v>230</v>
      </c>
    </row>
    <row r="65558" spans="3:3" x14ac:dyDescent="0.25">
      <c r="C65558" s="10" t="s">
        <v>231</v>
      </c>
    </row>
    <row r="65559" spans="3:3" x14ac:dyDescent="0.25">
      <c r="C65559" s="10">
        <v>16</v>
      </c>
    </row>
    <row r="65560" spans="3:3" x14ac:dyDescent="0.25">
      <c r="C65560" s="10">
        <v>12</v>
      </c>
    </row>
    <row r="65561" spans="3:3" x14ac:dyDescent="0.25">
      <c r="C65561" s="10">
        <v>14</v>
      </c>
    </row>
    <row r="65562" spans="3:3" x14ac:dyDescent="0.25">
      <c r="C65562" s="10">
        <v>12</v>
      </c>
    </row>
    <row r="65563" spans="3:3" x14ac:dyDescent="0.25">
      <c r="C65563" s="10">
        <v>8</v>
      </c>
    </row>
    <row r="65564" spans="3:3" x14ac:dyDescent="0.25">
      <c r="C65564" s="10">
        <v>2</v>
      </c>
    </row>
    <row r="65565" spans="3:3" x14ac:dyDescent="0.25">
      <c r="C65565" s="10">
        <v>18</v>
      </c>
    </row>
    <row r="65566" spans="3:3" x14ac:dyDescent="0.25">
      <c r="C65566" s="10">
        <v>17</v>
      </c>
    </row>
    <row r="65567" spans="3:3" x14ac:dyDescent="0.25">
      <c r="C65567" s="10">
        <v>3</v>
      </c>
    </row>
    <row r="65568" spans="3:3" x14ac:dyDescent="0.25">
      <c r="C65568" s="10">
        <v>2</v>
      </c>
    </row>
    <row r="65569" spans="3:3" x14ac:dyDescent="0.25">
      <c r="C65569" s="10">
        <v>9</v>
      </c>
    </row>
    <row r="65570" spans="3:3" x14ac:dyDescent="0.25">
      <c r="C65570" s="10">
        <v>9</v>
      </c>
    </row>
    <row r="65571" spans="3:3" x14ac:dyDescent="0.25">
      <c r="C65571" s="10">
        <v>7</v>
      </c>
    </row>
    <row r="65572" spans="3:3" x14ac:dyDescent="0.25">
      <c r="C65572" s="10">
        <v>7</v>
      </c>
    </row>
    <row r="65573" spans="3:3" x14ac:dyDescent="0.25">
      <c r="C65573" s="10">
        <v>136</v>
      </c>
    </row>
    <row r="81921" spans="3:3" ht="30" x14ac:dyDescent="0.25">
      <c r="C81921" s="10" t="s">
        <v>214</v>
      </c>
    </row>
    <row r="81922" spans="3:3" x14ac:dyDescent="0.25">
      <c r="C81922" s="10" t="s">
        <v>215</v>
      </c>
    </row>
    <row r="81923" spans="3:3" x14ac:dyDescent="0.25">
      <c r="C81923" s="11">
        <v>42166</v>
      </c>
    </row>
    <row r="81924" spans="3:3" x14ac:dyDescent="0.25">
      <c r="C81924" s="10" t="s">
        <v>216</v>
      </c>
    </row>
    <row r="81925" spans="3:3" ht="30" x14ac:dyDescent="0.25">
      <c r="C81925" s="10" t="s">
        <v>217</v>
      </c>
    </row>
    <row r="81926" spans="3:3" x14ac:dyDescent="0.25">
      <c r="C81926" s="10" t="s">
        <v>218</v>
      </c>
    </row>
    <row r="81927" spans="3:3" x14ac:dyDescent="0.25">
      <c r="C81927" s="10" t="s">
        <v>218</v>
      </c>
    </row>
    <row r="81928" spans="3:3" x14ac:dyDescent="0.25">
      <c r="C81928" s="10" t="s">
        <v>219</v>
      </c>
    </row>
    <row r="81929" spans="3:3" x14ac:dyDescent="0.25">
      <c r="C81929" s="10" t="s">
        <v>220</v>
      </c>
    </row>
    <row r="81930" spans="3:3" x14ac:dyDescent="0.25">
      <c r="C81930" s="10" t="s">
        <v>221</v>
      </c>
    </row>
    <row r="81931" spans="3:3" x14ac:dyDescent="0.25">
      <c r="C81931" s="10" t="s">
        <v>222</v>
      </c>
    </row>
    <row r="81932" spans="3:3" x14ac:dyDescent="0.25">
      <c r="C81932" s="10" t="s">
        <v>183</v>
      </c>
    </row>
    <row r="81933" spans="3:3" ht="30" x14ac:dyDescent="0.25">
      <c r="C81933" s="10" t="s">
        <v>223</v>
      </c>
    </row>
    <row r="81934" spans="3:3" x14ac:dyDescent="0.25">
      <c r="C81934" s="10" t="s">
        <v>224</v>
      </c>
    </row>
    <row r="81935" spans="3:3" x14ac:dyDescent="0.25">
      <c r="C81935" s="10" t="s">
        <v>225</v>
      </c>
    </row>
    <row r="81936" spans="3:3" x14ac:dyDescent="0.25">
      <c r="C81936" s="10" t="s">
        <v>226</v>
      </c>
    </row>
    <row r="81937" spans="3:3" x14ac:dyDescent="0.25">
      <c r="C81937" s="10" t="s">
        <v>227</v>
      </c>
    </row>
    <row r="81938" spans="3:3" x14ac:dyDescent="0.25">
      <c r="C81938" s="10" t="s">
        <v>228</v>
      </c>
    </row>
    <row r="81939" spans="3:3" x14ac:dyDescent="0.25">
      <c r="C81939" s="10" t="s">
        <v>229</v>
      </c>
    </row>
    <row r="81940" spans="3:3" x14ac:dyDescent="0.25">
      <c r="C81940" s="12">
        <v>0.05</v>
      </c>
    </row>
    <row r="81941" spans="3:3" x14ac:dyDescent="0.25">
      <c r="C81941" s="10" t="s">
        <v>230</v>
      </c>
    </row>
    <row r="81942" spans="3:3" x14ac:dyDescent="0.25">
      <c r="C81942" s="10" t="s">
        <v>231</v>
      </c>
    </row>
    <row r="81943" spans="3:3" x14ac:dyDescent="0.25">
      <c r="C81943" s="10">
        <v>16</v>
      </c>
    </row>
    <row r="81944" spans="3:3" x14ac:dyDescent="0.25">
      <c r="C81944" s="10">
        <v>12</v>
      </c>
    </row>
    <row r="81945" spans="3:3" x14ac:dyDescent="0.25">
      <c r="C81945" s="10">
        <v>14</v>
      </c>
    </row>
    <row r="81946" spans="3:3" x14ac:dyDescent="0.25">
      <c r="C81946" s="10">
        <v>12</v>
      </c>
    </row>
    <row r="81947" spans="3:3" x14ac:dyDescent="0.25">
      <c r="C81947" s="10">
        <v>8</v>
      </c>
    </row>
    <row r="81948" spans="3:3" x14ac:dyDescent="0.25">
      <c r="C81948" s="10">
        <v>2</v>
      </c>
    </row>
    <row r="81949" spans="3:3" x14ac:dyDescent="0.25">
      <c r="C81949" s="10">
        <v>18</v>
      </c>
    </row>
    <row r="81950" spans="3:3" x14ac:dyDescent="0.25">
      <c r="C81950" s="10">
        <v>17</v>
      </c>
    </row>
    <row r="81951" spans="3:3" x14ac:dyDescent="0.25">
      <c r="C81951" s="10">
        <v>3</v>
      </c>
    </row>
    <row r="81952" spans="3:3" x14ac:dyDescent="0.25">
      <c r="C81952" s="10">
        <v>2</v>
      </c>
    </row>
    <row r="81953" spans="3:3" x14ac:dyDescent="0.25">
      <c r="C81953" s="10">
        <v>9</v>
      </c>
    </row>
    <row r="81954" spans="3:3" x14ac:dyDescent="0.25">
      <c r="C81954" s="10">
        <v>9</v>
      </c>
    </row>
    <row r="81955" spans="3:3" x14ac:dyDescent="0.25">
      <c r="C81955" s="10">
        <v>7</v>
      </c>
    </row>
    <row r="81956" spans="3:3" x14ac:dyDescent="0.25">
      <c r="C81956" s="10">
        <v>7</v>
      </c>
    </row>
    <row r="81957" spans="3:3" x14ac:dyDescent="0.25">
      <c r="C81957" s="10">
        <v>136</v>
      </c>
    </row>
    <row r="98305" spans="3:3" ht="30" x14ac:dyDescent="0.25">
      <c r="C98305" s="10" t="s">
        <v>214</v>
      </c>
    </row>
    <row r="98306" spans="3:3" x14ac:dyDescent="0.25">
      <c r="C98306" s="10" t="s">
        <v>215</v>
      </c>
    </row>
    <row r="98307" spans="3:3" x14ac:dyDescent="0.25">
      <c r="C98307" s="11">
        <v>42166</v>
      </c>
    </row>
    <row r="98308" spans="3:3" x14ac:dyDescent="0.25">
      <c r="C98308" s="10" t="s">
        <v>216</v>
      </c>
    </row>
    <row r="98309" spans="3:3" ht="30" x14ac:dyDescent="0.25">
      <c r="C98309" s="10" t="s">
        <v>217</v>
      </c>
    </row>
    <row r="98310" spans="3:3" x14ac:dyDescent="0.25">
      <c r="C98310" s="10" t="s">
        <v>218</v>
      </c>
    </row>
    <row r="98311" spans="3:3" x14ac:dyDescent="0.25">
      <c r="C98311" s="10" t="s">
        <v>218</v>
      </c>
    </row>
    <row r="98312" spans="3:3" x14ac:dyDescent="0.25">
      <c r="C98312" s="10" t="s">
        <v>219</v>
      </c>
    </row>
    <row r="98313" spans="3:3" x14ac:dyDescent="0.25">
      <c r="C98313" s="10" t="s">
        <v>220</v>
      </c>
    </row>
    <row r="98314" spans="3:3" x14ac:dyDescent="0.25">
      <c r="C98314" s="10" t="s">
        <v>221</v>
      </c>
    </row>
    <row r="98315" spans="3:3" x14ac:dyDescent="0.25">
      <c r="C98315" s="10" t="s">
        <v>222</v>
      </c>
    </row>
    <row r="98316" spans="3:3" x14ac:dyDescent="0.25">
      <c r="C98316" s="10" t="s">
        <v>183</v>
      </c>
    </row>
    <row r="98317" spans="3:3" ht="30" x14ac:dyDescent="0.25">
      <c r="C98317" s="10" t="s">
        <v>223</v>
      </c>
    </row>
    <row r="98318" spans="3:3" x14ac:dyDescent="0.25">
      <c r="C98318" s="10" t="s">
        <v>224</v>
      </c>
    </row>
    <row r="98319" spans="3:3" x14ac:dyDescent="0.25">
      <c r="C98319" s="10" t="s">
        <v>225</v>
      </c>
    </row>
    <row r="98320" spans="3:3" x14ac:dyDescent="0.25">
      <c r="C98320" s="10" t="s">
        <v>226</v>
      </c>
    </row>
    <row r="98321" spans="3:3" x14ac:dyDescent="0.25">
      <c r="C98321" s="10" t="s">
        <v>227</v>
      </c>
    </row>
    <row r="98322" spans="3:3" x14ac:dyDescent="0.25">
      <c r="C98322" s="10" t="s">
        <v>228</v>
      </c>
    </row>
    <row r="98323" spans="3:3" x14ac:dyDescent="0.25">
      <c r="C98323" s="10" t="s">
        <v>229</v>
      </c>
    </row>
    <row r="98324" spans="3:3" x14ac:dyDescent="0.25">
      <c r="C98324" s="12">
        <v>0.05</v>
      </c>
    </row>
    <row r="98325" spans="3:3" x14ac:dyDescent="0.25">
      <c r="C98325" s="10" t="s">
        <v>230</v>
      </c>
    </row>
    <row r="98326" spans="3:3" x14ac:dyDescent="0.25">
      <c r="C98326" s="10" t="s">
        <v>231</v>
      </c>
    </row>
    <row r="98327" spans="3:3" x14ac:dyDescent="0.25">
      <c r="C98327" s="10">
        <v>16</v>
      </c>
    </row>
    <row r="98328" spans="3:3" x14ac:dyDescent="0.25">
      <c r="C98328" s="10">
        <v>12</v>
      </c>
    </row>
    <row r="98329" spans="3:3" x14ac:dyDescent="0.25">
      <c r="C98329" s="10">
        <v>14</v>
      </c>
    </row>
    <row r="98330" spans="3:3" x14ac:dyDescent="0.25">
      <c r="C98330" s="10">
        <v>12</v>
      </c>
    </row>
    <row r="98331" spans="3:3" x14ac:dyDescent="0.25">
      <c r="C98331" s="10">
        <v>8</v>
      </c>
    </row>
    <row r="98332" spans="3:3" x14ac:dyDescent="0.25">
      <c r="C98332" s="10">
        <v>2</v>
      </c>
    </row>
    <row r="98333" spans="3:3" x14ac:dyDescent="0.25">
      <c r="C98333" s="10">
        <v>18</v>
      </c>
    </row>
    <row r="98334" spans="3:3" x14ac:dyDescent="0.25">
      <c r="C98334" s="10">
        <v>17</v>
      </c>
    </row>
    <row r="98335" spans="3:3" x14ac:dyDescent="0.25">
      <c r="C98335" s="10">
        <v>3</v>
      </c>
    </row>
    <row r="98336" spans="3:3" x14ac:dyDescent="0.25">
      <c r="C98336" s="10">
        <v>2</v>
      </c>
    </row>
    <row r="98337" spans="3:3" x14ac:dyDescent="0.25">
      <c r="C98337" s="10">
        <v>9</v>
      </c>
    </row>
    <row r="98338" spans="3:3" x14ac:dyDescent="0.25">
      <c r="C98338" s="10">
        <v>9</v>
      </c>
    </row>
    <row r="98339" spans="3:3" x14ac:dyDescent="0.25">
      <c r="C98339" s="10">
        <v>7</v>
      </c>
    </row>
    <row r="98340" spans="3:3" x14ac:dyDescent="0.25">
      <c r="C98340" s="10">
        <v>7</v>
      </c>
    </row>
    <row r="98341" spans="3:3" x14ac:dyDescent="0.25">
      <c r="C98341" s="10">
        <v>136</v>
      </c>
    </row>
    <row r="114689" spans="3:3" ht="30" x14ac:dyDescent="0.25">
      <c r="C114689" s="10" t="s">
        <v>214</v>
      </c>
    </row>
    <row r="114690" spans="3:3" x14ac:dyDescent="0.25">
      <c r="C114690" s="10" t="s">
        <v>215</v>
      </c>
    </row>
    <row r="114691" spans="3:3" x14ac:dyDescent="0.25">
      <c r="C114691" s="11">
        <v>42166</v>
      </c>
    </row>
    <row r="114692" spans="3:3" x14ac:dyDescent="0.25">
      <c r="C114692" s="10" t="s">
        <v>216</v>
      </c>
    </row>
    <row r="114693" spans="3:3" ht="30" x14ac:dyDescent="0.25">
      <c r="C114693" s="10" t="s">
        <v>217</v>
      </c>
    </row>
    <row r="114694" spans="3:3" x14ac:dyDescent="0.25">
      <c r="C114694" s="10" t="s">
        <v>218</v>
      </c>
    </row>
    <row r="114695" spans="3:3" x14ac:dyDescent="0.25">
      <c r="C114695" s="10" t="s">
        <v>218</v>
      </c>
    </row>
    <row r="114696" spans="3:3" x14ac:dyDescent="0.25">
      <c r="C114696" s="10" t="s">
        <v>219</v>
      </c>
    </row>
    <row r="114697" spans="3:3" x14ac:dyDescent="0.25">
      <c r="C114697" s="10" t="s">
        <v>220</v>
      </c>
    </row>
    <row r="114698" spans="3:3" x14ac:dyDescent="0.25">
      <c r="C114698" s="10" t="s">
        <v>221</v>
      </c>
    </row>
    <row r="114699" spans="3:3" x14ac:dyDescent="0.25">
      <c r="C114699" s="10" t="s">
        <v>222</v>
      </c>
    </row>
    <row r="114700" spans="3:3" x14ac:dyDescent="0.25">
      <c r="C114700" s="10" t="s">
        <v>183</v>
      </c>
    </row>
    <row r="114701" spans="3:3" ht="30" x14ac:dyDescent="0.25">
      <c r="C114701" s="10" t="s">
        <v>223</v>
      </c>
    </row>
    <row r="114702" spans="3:3" x14ac:dyDescent="0.25">
      <c r="C114702" s="10" t="s">
        <v>224</v>
      </c>
    </row>
    <row r="114703" spans="3:3" x14ac:dyDescent="0.25">
      <c r="C114703" s="10" t="s">
        <v>225</v>
      </c>
    </row>
    <row r="114704" spans="3:3" x14ac:dyDescent="0.25">
      <c r="C114704" s="10" t="s">
        <v>226</v>
      </c>
    </row>
    <row r="114705" spans="3:3" x14ac:dyDescent="0.25">
      <c r="C114705" s="10" t="s">
        <v>227</v>
      </c>
    </row>
    <row r="114706" spans="3:3" x14ac:dyDescent="0.25">
      <c r="C114706" s="10" t="s">
        <v>228</v>
      </c>
    </row>
    <row r="114707" spans="3:3" x14ac:dyDescent="0.25">
      <c r="C114707" s="10" t="s">
        <v>229</v>
      </c>
    </row>
    <row r="114708" spans="3:3" x14ac:dyDescent="0.25">
      <c r="C114708" s="12">
        <v>0.05</v>
      </c>
    </row>
    <row r="114709" spans="3:3" x14ac:dyDescent="0.25">
      <c r="C114709" s="10" t="s">
        <v>230</v>
      </c>
    </row>
    <row r="114710" spans="3:3" x14ac:dyDescent="0.25">
      <c r="C114710" s="10" t="s">
        <v>231</v>
      </c>
    </row>
    <row r="114711" spans="3:3" x14ac:dyDescent="0.25">
      <c r="C114711" s="10">
        <v>16</v>
      </c>
    </row>
    <row r="114712" spans="3:3" x14ac:dyDescent="0.25">
      <c r="C114712" s="10">
        <v>12</v>
      </c>
    </row>
    <row r="114713" spans="3:3" x14ac:dyDescent="0.25">
      <c r="C114713" s="10">
        <v>14</v>
      </c>
    </row>
    <row r="114714" spans="3:3" x14ac:dyDescent="0.25">
      <c r="C114714" s="10">
        <v>12</v>
      </c>
    </row>
    <row r="114715" spans="3:3" x14ac:dyDescent="0.25">
      <c r="C114715" s="10">
        <v>8</v>
      </c>
    </row>
    <row r="114716" spans="3:3" x14ac:dyDescent="0.25">
      <c r="C114716" s="10">
        <v>2</v>
      </c>
    </row>
    <row r="114717" spans="3:3" x14ac:dyDescent="0.25">
      <c r="C114717" s="10">
        <v>18</v>
      </c>
    </row>
    <row r="114718" spans="3:3" x14ac:dyDescent="0.25">
      <c r="C114718" s="10">
        <v>17</v>
      </c>
    </row>
    <row r="114719" spans="3:3" x14ac:dyDescent="0.25">
      <c r="C114719" s="10">
        <v>3</v>
      </c>
    </row>
    <row r="114720" spans="3:3" x14ac:dyDescent="0.25">
      <c r="C114720" s="10">
        <v>2</v>
      </c>
    </row>
    <row r="114721" spans="3:3" x14ac:dyDescent="0.25">
      <c r="C114721" s="10">
        <v>9</v>
      </c>
    </row>
    <row r="114722" spans="3:3" x14ac:dyDescent="0.25">
      <c r="C114722" s="10">
        <v>9</v>
      </c>
    </row>
    <row r="114723" spans="3:3" x14ac:dyDescent="0.25">
      <c r="C114723" s="10">
        <v>7</v>
      </c>
    </row>
    <row r="114724" spans="3:3" x14ac:dyDescent="0.25">
      <c r="C114724" s="10">
        <v>7</v>
      </c>
    </row>
    <row r="114725" spans="3:3" x14ac:dyDescent="0.25">
      <c r="C114725" s="10">
        <v>136</v>
      </c>
    </row>
    <row r="131073" spans="3:3" ht="30" x14ac:dyDescent="0.25">
      <c r="C131073" s="10" t="s">
        <v>214</v>
      </c>
    </row>
    <row r="131074" spans="3:3" x14ac:dyDescent="0.25">
      <c r="C131074" s="10" t="s">
        <v>215</v>
      </c>
    </row>
    <row r="131075" spans="3:3" x14ac:dyDescent="0.25">
      <c r="C131075" s="11">
        <v>42166</v>
      </c>
    </row>
    <row r="131076" spans="3:3" x14ac:dyDescent="0.25">
      <c r="C131076" s="10" t="s">
        <v>216</v>
      </c>
    </row>
    <row r="131077" spans="3:3" ht="30" x14ac:dyDescent="0.25">
      <c r="C131077" s="10" t="s">
        <v>217</v>
      </c>
    </row>
    <row r="131078" spans="3:3" x14ac:dyDescent="0.25">
      <c r="C131078" s="10" t="s">
        <v>218</v>
      </c>
    </row>
    <row r="131079" spans="3:3" x14ac:dyDescent="0.25">
      <c r="C131079" s="10" t="s">
        <v>218</v>
      </c>
    </row>
    <row r="131080" spans="3:3" x14ac:dyDescent="0.25">
      <c r="C131080" s="10" t="s">
        <v>219</v>
      </c>
    </row>
    <row r="131081" spans="3:3" x14ac:dyDescent="0.25">
      <c r="C131081" s="10" t="s">
        <v>220</v>
      </c>
    </row>
    <row r="131082" spans="3:3" x14ac:dyDescent="0.25">
      <c r="C131082" s="10" t="s">
        <v>221</v>
      </c>
    </row>
    <row r="131083" spans="3:3" x14ac:dyDescent="0.25">
      <c r="C131083" s="10" t="s">
        <v>222</v>
      </c>
    </row>
    <row r="131084" spans="3:3" x14ac:dyDescent="0.25">
      <c r="C131084" s="10" t="s">
        <v>183</v>
      </c>
    </row>
    <row r="131085" spans="3:3" ht="30" x14ac:dyDescent="0.25">
      <c r="C131085" s="10" t="s">
        <v>223</v>
      </c>
    </row>
    <row r="131086" spans="3:3" x14ac:dyDescent="0.25">
      <c r="C131086" s="10" t="s">
        <v>224</v>
      </c>
    </row>
    <row r="131087" spans="3:3" x14ac:dyDescent="0.25">
      <c r="C131087" s="10" t="s">
        <v>225</v>
      </c>
    </row>
    <row r="131088" spans="3:3" x14ac:dyDescent="0.25">
      <c r="C131088" s="10" t="s">
        <v>226</v>
      </c>
    </row>
    <row r="131089" spans="3:3" x14ac:dyDescent="0.25">
      <c r="C131089" s="10" t="s">
        <v>227</v>
      </c>
    </row>
    <row r="131090" spans="3:3" x14ac:dyDescent="0.25">
      <c r="C131090" s="10" t="s">
        <v>228</v>
      </c>
    </row>
    <row r="131091" spans="3:3" x14ac:dyDescent="0.25">
      <c r="C131091" s="10" t="s">
        <v>229</v>
      </c>
    </row>
    <row r="131092" spans="3:3" x14ac:dyDescent="0.25">
      <c r="C131092" s="12">
        <v>0.05</v>
      </c>
    </row>
    <row r="131093" spans="3:3" x14ac:dyDescent="0.25">
      <c r="C131093" s="10" t="s">
        <v>230</v>
      </c>
    </row>
    <row r="131094" spans="3:3" x14ac:dyDescent="0.25">
      <c r="C131094" s="10" t="s">
        <v>231</v>
      </c>
    </row>
    <row r="131095" spans="3:3" x14ac:dyDescent="0.25">
      <c r="C131095" s="10">
        <v>16</v>
      </c>
    </row>
    <row r="131096" spans="3:3" x14ac:dyDescent="0.25">
      <c r="C131096" s="10">
        <v>12</v>
      </c>
    </row>
    <row r="131097" spans="3:3" x14ac:dyDescent="0.25">
      <c r="C131097" s="10">
        <v>14</v>
      </c>
    </row>
    <row r="131098" spans="3:3" x14ac:dyDescent="0.25">
      <c r="C131098" s="10">
        <v>12</v>
      </c>
    </row>
    <row r="131099" spans="3:3" x14ac:dyDescent="0.25">
      <c r="C131099" s="10">
        <v>8</v>
      </c>
    </row>
    <row r="131100" spans="3:3" x14ac:dyDescent="0.25">
      <c r="C131100" s="10">
        <v>2</v>
      </c>
    </row>
    <row r="131101" spans="3:3" x14ac:dyDescent="0.25">
      <c r="C131101" s="10">
        <v>18</v>
      </c>
    </row>
    <row r="131102" spans="3:3" x14ac:dyDescent="0.25">
      <c r="C131102" s="10">
        <v>17</v>
      </c>
    </row>
    <row r="131103" spans="3:3" x14ac:dyDescent="0.25">
      <c r="C131103" s="10">
        <v>3</v>
      </c>
    </row>
    <row r="131104" spans="3:3" x14ac:dyDescent="0.25">
      <c r="C131104" s="10">
        <v>2</v>
      </c>
    </row>
    <row r="131105" spans="3:3" x14ac:dyDescent="0.25">
      <c r="C131105" s="10">
        <v>9</v>
      </c>
    </row>
    <row r="131106" spans="3:3" x14ac:dyDescent="0.25">
      <c r="C131106" s="10">
        <v>9</v>
      </c>
    </row>
    <row r="131107" spans="3:3" x14ac:dyDescent="0.25">
      <c r="C131107" s="10">
        <v>7</v>
      </c>
    </row>
    <row r="131108" spans="3:3" x14ac:dyDescent="0.25">
      <c r="C131108" s="10">
        <v>7</v>
      </c>
    </row>
    <row r="131109" spans="3:3" x14ac:dyDescent="0.25">
      <c r="C131109" s="10">
        <v>136</v>
      </c>
    </row>
    <row r="147457" spans="3:3" ht="30" x14ac:dyDescent="0.25">
      <c r="C147457" s="10" t="s">
        <v>214</v>
      </c>
    </row>
    <row r="147458" spans="3:3" x14ac:dyDescent="0.25">
      <c r="C147458" s="10" t="s">
        <v>215</v>
      </c>
    </row>
    <row r="147459" spans="3:3" x14ac:dyDescent="0.25">
      <c r="C147459" s="11">
        <v>42166</v>
      </c>
    </row>
    <row r="147460" spans="3:3" x14ac:dyDescent="0.25">
      <c r="C147460" s="10" t="s">
        <v>216</v>
      </c>
    </row>
    <row r="147461" spans="3:3" ht="30" x14ac:dyDescent="0.25">
      <c r="C147461" s="10" t="s">
        <v>217</v>
      </c>
    </row>
    <row r="147462" spans="3:3" x14ac:dyDescent="0.25">
      <c r="C147462" s="10" t="s">
        <v>218</v>
      </c>
    </row>
    <row r="147463" spans="3:3" x14ac:dyDescent="0.25">
      <c r="C147463" s="10" t="s">
        <v>218</v>
      </c>
    </row>
    <row r="147464" spans="3:3" x14ac:dyDescent="0.25">
      <c r="C147464" s="10" t="s">
        <v>219</v>
      </c>
    </row>
    <row r="147465" spans="3:3" x14ac:dyDescent="0.25">
      <c r="C147465" s="10" t="s">
        <v>220</v>
      </c>
    </row>
    <row r="147466" spans="3:3" x14ac:dyDescent="0.25">
      <c r="C147466" s="10" t="s">
        <v>221</v>
      </c>
    </row>
    <row r="147467" spans="3:3" x14ac:dyDescent="0.25">
      <c r="C147467" s="10" t="s">
        <v>222</v>
      </c>
    </row>
    <row r="147468" spans="3:3" x14ac:dyDescent="0.25">
      <c r="C147468" s="10" t="s">
        <v>183</v>
      </c>
    </row>
    <row r="147469" spans="3:3" ht="30" x14ac:dyDescent="0.25">
      <c r="C147469" s="10" t="s">
        <v>223</v>
      </c>
    </row>
    <row r="147470" spans="3:3" x14ac:dyDescent="0.25">
      <c r="C147470" s="10" t="s">
        <v>224</v>
      </c>
    </row>
    <row r="147471" spans="3:3" x14ac:dyDescent="0.25">
      <c r="C147471" s="10" t="s">
        <v>225</v>
      </c>
    </row>
    <row r="147472" spans="3:3" x14ac:dyDescent="0.25">
      <c r="C147472" s="10" t="s">
        <v>226</v>
      </c>
    </row>
    <row r="147473" spans="3:3" x14ac:dyDescent="0.25">
      <c r="C147473" s="10" t="s">
        <v>227</v>
      </c>
    </row>
    <row r="147474" spans="3:3" x14ac:dyDescent="0.25">
      <c r="C147474" s="10" t="s">
        <v>228</v>
      </c>
    </row>
    <row r="147475" spans="3:3" x14ac:dyDescent="0.25">
      <c r="C147475" s="10" t="s">
        <v>229</v>
      </c>
    </row>
    <row r="147476" spans="3:3" x14ac:dyDescent="0.25">
      <c r="C147476" s="12">
        <v>0.05</v>
      </c>
    </row>
    <row r="147477" spans="3:3" x14ac:dyDescent="0.25">
      <c r="C147477" s="10" t="s">
        <v>230</v>
      </c>
    </row>
    <row r="147478" spans="3:3" x14ac:dyDescent="0.25">
      <c r="C147478" s="10" t="s">
        <v>231</v>
      </c>
    </row>
    <row r="147479" spans="3:3" x14ac:dyDescent="0.25">
      <c r="C147479" s="10">
        <v>16</v>
      </c>
    </row>
    <row r="147480" spans="3:3" x14ac:dyDescent="0.25">
      <c r="C147480" s="10">
        <v>12</v>
      </c>
    </row>
    <row r="147481" spans="3:3" x14ac:dyDescent="0.25">
      <c r="C147481" s="10">
        <v>14</v>
      </c>
    </row>
    <row r="147482" spans="3:3" x14ac:dyDescent="0.25">
      <c r="C147482" s="10">
        <v>12</v>
      </c>
    </row>
    <row r="147483" spans="3:3" x14ac:dyDescent="0.25">
      <c r="C147483" s="10">
        <v>8</v>
      </c>
    </row>
    <row r="147484" spans="3:3" x14ac:dyDescent="0.25">
      <c r="C147484" s="10">
        <v>2</v>
      </c>
    </row>
    <row r="147485" spans="3:3" x14ac:dyDescent="0.25">
      <c r="C147485" s="10">
        <v>18</v>
      </c>
    </row>
    <row r="147486" spans="3:3" x14ac:dyDescent="0.25">
      <c r="C147486" s="10">
        <v>17</v>
      </c>
    </row>
    <row r="147487" spans="3:3" x14ac:dyDescent="0.25">
      <c r="C147487" s="10">
        <v>3</v>
      </c>
    </row>
    <row r="147488" spans="3:3" x14ac:dyDescent="0.25">
      <c r="C147488" s="10">
        <v>2</v>
      </c>
    </row>
    <row r="147489" spans="3:3" x14ac:dyDescent="0.25">
      <c r="C147489" s="10">
        <v>9</v>
      </c>
    </row>
    <row r="147490" spans="3:3" x14ac:dyDescent="0.25">
      <c r="C147490" s="10">
        <v>9</v>
      </c>
    </row>
    <row r="147491" spans="3:3" x14ac:dyDescent="0.25">
      <c r="C147491" s="10">
        <v>7</v>
      </c>
    </row>
    <row r="147492" spans="3:3" x14ac:dyDescent="0.25">
      <c r="C147492" s="10">
        <v>7</v>
      </c>
    </row>
    <row r="147493" spans="3:3" x14ac:dyDescent="0.25">
      <c r="C147493" s="10">
        <v>136</v>
      </c>
    </row>
    <row r="163841" spans="3:3" ht="30" x14ac:dyDescent="0.25">
      <c r="C163841" s="10" t="s">
        <v>214</v>
      </c>
    </row>
    <row r="163842" spans="3:3" x14ac:dyDescent="0.25">
      <c r="C163842" s="10" t="s">
        <v>215</v>
      </c>
    </row>
    <row r="163843" spans="3:3" x14ac:dyDescent="0.25">
      <c r="C163843" s="11">
        <v>42166</v>
      </c>
    </row>
    <row r="163844" spans="3:3" x14ac:dyDescent="0.25">
      <c r="C163844" s="10" t="s">
        <v>216</v>
      </c>
    </row>
    <row r="163845" spans="3:3" ht="30" x14ac:dyDescent="0.25">
      <c r="C163845" s="10" t="s">
        <v>217</v>
      </c>
    </row>
    <row r="163846" spans="3:3" x14ac:dyDescent="0.25">
      <c r="C163846" s="10" t="s">
        <v>218</v>
      </c>
    </row>
    <row r="163847" spans="3:3" x14ac:dyDescent="0.25">
      <c r="C163847" s="10" t="s">
        <v>218</v>
      </c>
    </row>
    <row r="163848" spans="3:3" x14ac:dyDescent="0.25">
      <c r="C163848" s="10" t="s">
        <v>219</v>
      </c>
    </row>
    <row r="163849" spans="3:3" x14ac:dyDescent="0.25">
      <c r="C163849" s="10" t="s">
        <v>220</v>
      </c>
    </row>
    <row r="163850" spans="3:3" x14ac:dyDescent="0.25">
      <c r="C163850" s="10" t="s">
        <v>221</v>
      </c>
    </row>
    <row r="163851" spans="3:3" x14ac:dyDescent="0.25">
      <c r="C163851" s="10" t="s">
        <v>222</v>
      </c>
    </row>
    <row r="163852" spans="3:3" x14ac:dyDescent="0.25">
      <c r="C163852" s="10" t="s">
        <v>183</v>
      </c>
    </row>
    <row r="163853" spans="3:3" ht="30" x14ac:dyDescent="0.25">
      <c r="C163853" s="10" t="s">
        <v>223</v>
      </c>
    </row>
    <row r="163854" spans="3:3" x14ac:dyDescent="0.25">
      <c r="C163854" s="10" t="s">
        <v>224</v>
      </c>
    </row>
    <row r="163855" spans="3:3" x14ac:dyDescent="0.25">
      <c r="C163855" s="10" t="s">
        <v>225</v>
      </c>
    </row>
    <row r="163856" spans="3:3" x14ac:dyDescent="0.25">
      <c r="C163856" s="10" t="s">
        <v>226</v>
      </c>
    </row>
    <row r="163857" spans="3:3" x14ac:dyDescent="0.25">
      <c r="C163857" s="10" t="s">
        <v>227</v>
      </c>
    </row>
    <row r="163858" spans="3:3" x14ac:dyDescent="0.25">
      <c r="C163858" s="10" t="s">
        <v>228</v>
      </c>
    </row>
    <row r="163859" spans="3:3" x14ac:dyDescent="0.25">
      <c r="C163859" s="10" t="s">
        <v>229</v>
      </c>
    </row>
    <row r="163860" spans="3:3" x14ac:dyDescent="0.25">
      <c r="C163860" s="12">
        <v>0.05</v>
      </c>
    </row>
    <row r="163861" spans="3:3" x14ac:dyDescent="0.25">
      <c r="C163861" s="10" t="s">
        <v>230</v>
      </c>
    </row>
    <row r="163862" spans="3:3" x14ac:dyDescent="0.25">
      <c r="C163862" s="10" t="s">
        <v>231</v>
      </c>
    </row>
    <row r="163863" spans="3:3" x14ac:dyDescent="0.25">
      <c r="C163863" s="10">
        <v>16</v>
      </c>
    </row>
    <row r="163864" spans="3:3" x14ac:dyDescent="0.25">
      <c r="C163864" s="10">
        <v>12</v>
      </c>
    </row>
    <row r="163865" spans="3:3" x14ac:dyDescent="0.25">
      <c r="C163865" s="10">
        <v>14</v>
      </c>
    </row>
    <row r="163866" spans="3:3" x14ac:dyDescent="0.25">
      <c r="C163866" s="10">
        <v>12</v>
      </c>
    </row>
    <row r="163867" spans="3:3" x14ac:dyDescent="0.25">
      <c r="C163867" s="10">
        <v>8</v>
      </c>
    </row>
    <row r="163868" spans="3:3" x14ac:dyDescent="0.25">
      <c r="C163868" s="10">
        <v>2</v>
      </c>
    </row>
    <row r="163869" spans="3:3" x14ac:dyDescent="0.25">
      <c r="C163869" s="10">
        <v>18</v>
      </c>
    </row>
    <row r="163870" spans="3:3" x14ac:dyDescent="0.25">
      <c r="C163870" s="10">
        <v>17</v>
      </c>
    </row>
    <row r="163871" spans="3:3" x14ac:dyDescent="0.25">
      <c r="C163871" s="10">
        <v>3</v>
      </c>
    </row>
    <row r="163872" spans="3:3" x14ac:dyDescent="0.25">
      <c r="C163872" s="10">
        <v>2</v>
      </c>
    </row>
    <row r="163873" spans="3:3" x14ac:dyDescent="0.25">
      <c r="C163873" s="10">
        <v>9</v>
      </c>
    </row>
    <row r="163874" spans="3:3" x14ac:dyDescent="0.25">
      <c r="C163874" s="10">
        <v>9</v>
      </c>
    </row>
    <row r="163875" spans="3:3" x14ac:dyDescent="0.25">
      <c r="C163875" s="10">
        <v>7</v>
      </c>
    </row>
    <row r="163876" spans="3:3" x14ac:dyDescent="0.25">
      <c r="C163876" s="10">
        <v>7</v>
      </c>
    </row>
    <row r="163877" spans="3:3" x14ac:dyDescent="0.25">
      <c r="C163877" s="10">
        <v>136</v>
      </c>
    </row>
    <row r="180225" spans="3:3" ht="30" x14ac:dyDescent="0.25">
      <c r="C180225" s="10" t="s">
        <v>214</v>
      </c>
    </row>
    <row r="180226" spans="3:3" x14ac:dyDescent="0.25">
      <c r="C180226" s="10" t="s">
        <v>215</v>
      </c>
    </row>
    <row r="180227" spans="3:3" x14ac:dyDescent="0.25">
      <c r="C180227" s="11">
        <v>42166</v>
      </c>
    </row>
    <row r="180228" spans="3:3" x14ac:dyDescent="0.25">
      <c r="C180228" s="10" t="s">
        <v>216</v>
      </c>
    </row>
    <row r="180229" spans="3:3" ht="30" x14ac:dyDescent="0.25">
      <c r="C180229" s="10" t="s">
        <v>217</v>
      </c>
    </row>
    <row r="180230" spans="3:3" x14ac:dyDescent="0.25">
      <c r="C180230" s="10" t="s">
        <v>218</v>
      </c>
    </row>
    <row r="180231" spans="3:3" x14ac:dyDescent="0.25">
      <c r="C180231" s="10" t="s">
        <v>218</v>
      </c>
    </row>
    <row r="180232" spans="3:3" x14ac:dyDescent="0.25">
      <c r="C180232" s="10" t="s">
        <v>219</v>
      </c>
    </row>
    <row r="180233" spans="3:3" x14ac:dyDescent="0.25">
      <c r="C180233" s="10" t="s">
        <v>220</v>
      </c>
    </row>
    <row r="180234" spans="3:3" x14ac:dyDescent="0.25">
      <c r="C180234" s="10" t="s">
        <v>221</v>
      </c>
    </row>
    <row r="180235" spans="3:3" x14ac:dyDescent="0.25">
      <c r="C180235" s="10" t="s">
        <v>222</v>
      </c>
    </row>
    <row r="180236" spans="3:3" x14ac:dyDescent="0.25">
      <c r="C180236" s="10" t="s">
        <v>183</v>
      </c>
    </row>
    <row r="180237" spans="3:3" ht="30" x14ac:dyDescent="0.25">
      <c r="C180237" s="10" t="s">
        <v>223</v>
      </c>
    </row>
    <row r="180238" spans="3:3" x14ac:dyDescent="0.25">
      <c r="C180238" s="10" t="s">
        <v>224</v>
      </c>
    </row>
    <row r="180239" spans="3:3" x14ac:dyDescent="0.25">
      <c r="C180239" s="10" t="s">
        <v>225</v>
      </c>
    </row>
    <row r="180240" spans="3:3" x14ac:dyDescent="0.25">
      <c r="C180240" s="10" t="s">
        <v>226</v>
      </c>
    </row>
    <row r="180241" spans="3:3" x14ac:dyDescent="0.25">
      <c r="C180241" s="10" t="s">
        <v>227</v>
      </c>
    </row>
    <row r="180242" spans="3:3" x14ac:dyDescent="0.25">
      <c r="C180242" s="10" t="s">
        <v>228</v>
      </c>
    </row>
    <row r="180243" spans="3:3" x14ac:dyDescent="0.25">
      <c r="C180243" s="10" t="s">
        <v>229</v>
      </c>
    </row>
    <row r="180244" spans="3:3" x14ac:dyDescent="0.25">
      <c r="C180244" s="12">
        <v>0.05</v>
      </c>
    </row>
    <row r="180245" spans="3:3" x14ac:dyDescent="0.25">
      <c r="C180245" s="10" t="s">
        <v>230</v>
      </c>
    </row>
    <row r="180246" spans="3:3" x14ac:dyDescent="0.25">
      <c r="C180246" s="10" t="s">
        <v>231</v>
      </c>
    </row>
    <row r="180247" spans="3:3" x14ac:dyDescent="0.25">
      <c r="C180247" s="10">
        <v>16</v>
      </c>
    </row>
    <row r="180248" spans="3:3" x14ac:dyDescent="0.25">
      <c r="C180248" s="10">
        <v>12</v>
      </c>
    </row>
    <row r="180249" spans="3:3" x14ac:dyDescent="0.25">
      <c r="C180249" s="10">
        <v>14</v>
      </c>
    </row>
    <row r="180250" spans="3:3" x14ac:dyDescent="0.25">
      <c r="C180250" s="10">
        <v>12</v>
      </c>
    </row>
    <row r="180251" spans="3:3" x14ac:dyDescent="0.25">
      <c r="C180251" s="10">
        <v>8</v>
      </c>
    </row>
    <row r="180252" spans="3:3" x14ac:dyDescent="0.25">
      <c r="C180252" s="10">
        <v>2</v>
      </c>
    </row>
    <row r="180253" spans="3:3" x14ac:dyDescent="0.25">
      <c r="C180253" s="10">
        <v>18</v>
      </c>
    </row>
    <row r="180254" spans="3:3" x14ac:dyDescent="0.25">
      <c r="C180254" s="10">
        <v>17</v>
      </c>
    </row>
    <row r="180255" spans="3:3" x14ac:dyDescent="0.25">
      <c r="C180255" s="10">
        <v>3</v>
      </c>
    </row>
    <row r="180256" spans="3:3" x14ac:dyDescent="0.25">
      <c r="C180256" s="10">
        <v>2</v>
      </c>
    </row>
    <row r="180257" spans="3:3" x14ac:dyDescent="0.25">
      <c r="C180257" s="10">
        <v>9</v>
      </c>
    </row>
    <row r="180258" spans="3:3" x14ac:dyDescent="0.25">
      <c r="C180258" s="10">
        <v>9</v>
      </c>
    </row>
    <row r="180259" spans="3:3" x14ac:dyDescent="0.25">
      <c r="C180259" s="10">
        <v>7</v>
      </c>
    </row>
    <row r="180260" spans="3:3" x14ac:dyDescent="0.25">
      <c r="C180260" s="10">
        <v>7</v>
      </c>
    </row>
    <row r="180261" spans="3:3" x14ac:dyDescent="0.25">
      <c r="C180261" s="10">
        <v>136</v>
      </c>
    </row>
    <row r="196609" spans="3:3" ht="30" x14ac:dyDescent="0.25">
      <c r="C196609" s="10" t="s">
        <v>214</v>
      </c>
    </row>
    <row r="196610" spans="3:3" x14ac:dyDescent="0.25">
      <c r="C196610" s="10" t="s">
        <v>215</v>
      </c>
    </row>
    <row r="196611" spans="3:3" x14ac:dyDescent="0.25">
      <c r="C196611" s="11">
        <v>42166</v>
      </c>
    </row>
    <row r="196612" spans="3:3" x14ac:dyDescent="0.25">
      <c r="C196612" s="10" t="s">
        <v>216</v>
      </c>
    </row>
    <row r="196613" spans="3:3" ht="30" x14ac:dyDescent="0.25">
      <c r="C196613" s="10" t="s">
        <v>217</v>
      </c>
    </row>
    <row r="196614" spans="3:3" x14ac:dyDescent="0.25">
      <c r="C196614" s="10" t="s">
        <v>218</v>
      </c>
    </row>
    <row r="196615" spans="3:3" x14ac:dyDescent="0.25">
      <c r="C196615" s="10" t="s">
        <v>218</v>
      </c>
    </row>
    <row r="196616" spans="3:3" x14ac:dyDescent="0.25">
      <c r="C196616" s="10" t="s">
        <v>219</v>
      </c>
    </row>
    <row r="196617" spans="3:3" x14ac:dyDescent="0.25">
      <c r="C196617" s="10" t="s">
        <v>220</v>
      </c>
    </row>
    <row r="196618" spans="3:3" x14ac:dyDescent="0.25">
      <c r="C196618" s="10" t="s">
        <v>221</v>
      </c>
    </row>
    <row r="196619" spans="3:3" x14ac:dyDescent="0.25">
      <c r="C196619" s="10" t="s">
        <v>222</v>
      </c>
    </row>
    <row r="196620" spans="3:3" x14ac:dyDescent="0.25">
      <c r="C196620" s="10" t="s">
        <v>183</v>
      </c>
    </row>
    <row r="196621" spans="3:3" ht="30" x14ac:dyDescent="0.25">
      <c r="C196621" s="10" t="s">
        <v>223</v>
      </c>
    </row>
    <row r="196622" spans="3:3" x14ac:dyDescent="0.25">
      <c r="C196622" s="10" t="s">
        <v>224</v>
      </c>
    </row>
    <row r="196623" spans="3:3" x14ac:dyDescent="0.25">
      <c r="C196623" s="10" t="s">
        <v>225</v>
      </c>
    </row>
    <row r="196624" spans="3:3" x14ac:dyDescent="0.25">
      <c r="C196624" s="10" t="s">
        <v>226</v>
      </c>
    </row>
    <row r="196625" spans="3:3" x14ac:dyDescent="0.25">
      <c r="C196625" s="10" t="s">
        <v>227</v>
      </c>
    </row>
    <row r="196626" spans="3:3" x14ac:dyDescent="0.25">
      <c r="C196626" s="10" t="s">
        <v>228</v>
      </c>
    </row>
    <row r="196627" spans="3:3" x14ac:dyDescent="0.25">
      <c r="C196627" s="10" t="s">
        <v>229</v>
      </c>
    </row>
    <row r="196628" spans="3:3" x14ac:dyDescent="0.25">
      <c r="C196628" s="12">
        <v>0.05</v>
      </c>
    </row>
    <row r="196629" spans="3:3" x14ac:dyDescent="0.25">
      <c r="C196629" s="10" t="s">
        <v>230</v>
      </c>
    </row>
    <row r="196630" spans="3:3" x14ac:dyDescent="0.25">
      <c r="C196630" s="10" t="s">
        <v>231</v>
      </c>
    </row>
    <row r="196631" spans="3:3" x14ac:dyDescent="0.25">
      <c r="C196631" s="10">
        <v>16</v>
      </c>
    </row>
    <row r="196632" spans="3:3" x14ac:dyDescent="0.25">
      <c r="C196632" s="10">
        <v>12</v>
      </c>
    </row>
    <row r="196633" spans="3:3" x14ac:dyDescent="0.25">
      <c r="C196633" s="10">
        <v>14</v>
      </c>
    </row>
    <row r="196634" spans="3:3" x14ac:dyDescent="0.25">
      <c r="C196634" s="10">
        <v>12</v>
      </c>
    </row>
    <row r="196635" spans="3:3" x14ac:dyDescent="0.25">
      <c r="C196635" s="10">
        <v>8</v>
      </c>
    </row>
    <row r="196636" spans="3:3" x14ac:dyDescent="0.25">
      <c r="C196636" s="10">
        <v>2</v>
      </c>
    </row>
    <row r="196637" spans="3:3" x14ac:dyDescent="0.25">
      <c r="C196637" s="10">
        <v>18</v>
      </c>
    </row>
    <row r="196638" spans="3:3" x14ac:dyDescent="0.25">
      <c r="C196638" s="10">
        <v>17</v>
      </c>
    </row>
    <row r="196639" spans="3:3" x14ac:dyDescent="0.25">
      <c r="C196639" s="10">
        <v>3</v>
      </c>
    </row>
    <row r="196640" spans="3:3" x14ac:dyDescent="0.25">
      <c r="C196640" s="10">
        <v>2</v>
      </c>
    </row>
    <row r="196641" spans="3:3" x14ac:dyDescent="0.25">
      <c r="C196641" s="10">
        <v>9</v>
      </c>
    </row>
    <row r="196642" spans="3:3" x14ac:dyDescent="0.25">
      <c r="C196642" s="10">
        <v>9</v>
      </c>
    </row>
    <row r="196643" spans="3:3" x14ac:dyDescent="0.25">
      <c r="C196643" s="10">
        <v>7</v>
      </c>
    </row>
    <row r="196644" spans="3:3" x14ac:dyDescent="0.25">
      <c r="C196644" s="10">
        <v>7</v>
      </c>
    </row>
    <row r="196645" spans="3:3" x14ac:dyDescent="0.25">
      <c r="C196645" s="10">
        <v>136</v>
      </c>
    </row>
    <row r="212993" spans="3:3" ht="30" x14ac:dyDescent="0.25">
      <c r="C212993" s="10" t="s">
        <v>214</v>
      </c>
    </row>
    <row r="212994" spans="3:3" x14ac:dyDescent="0.25">
      <c r="C212994" s="10" t="s">
        <v>215</v>
      </c>
    </row>
    <row r="212995" spans="3:3" x14ac:dyDescent="0.25">
      <c r="C212995" s="11">
        <v>42166</v>
      </c>
    </row>
    <row r="212996" spans="3:3" x14ac:dyDescent="0.25">
      <c r="C212996" s="10" t="s">
        <v>216</v>
      </c>
    </row>
    <row r="212997" spans="3:3" ht="30" x14ac:dyDescent="0.25">
      <c r="C212997" s="10" t="s">
        <v>217</v>
      </c>
    </row>
    <row r="212998" spans="3:3" x14ac:dyDescent="0.25">
      <c r="C212998" s="10" t="s">
        <v>218</v>
      </c>
    </row>
    <row r="212999" spans="3:3" x14ac:dyDescent="0.25">
      <c r="C212999" s="10" t="s">
        <v>218</v>
      </c>
    </row>
    <row r="213000" spans="3:3" x14ac:dyDescent="0.25">
      <c r="C213000" s="10" t="s">
        <v>219</v>
      </c>
    </row>
    <row r="213001" spans="3:3" x14ac:dyDescent="0.25">
      <c r="C213001" s="10" t="s">
        <v>220</v>
      </c>
    </row>
    <row r="213002" spans="3:3" x14ac:dyDescent="0.25">
      <c r="C213002" s="10" t="s">
        <v>221</v>
      </c>
    </row>
    <row r="213003" spans="3:3" x14ac:dyDescent="0.25">
      <c r="C213003" s="10" t="s">
        <v>222</v>
      </c>
    </row>
    <row r="213004" spans="3:3" x14ac:dyDescent="0.25">
      <c r="C213004" s="10" t="s">
        <v>183</v>
      </c>
    </row>
    <row r="213005" spans="3:3" ht="30" x14ac:dyDescent="0.25">
      <c r="C213005" s="10" t="s">
        <v>223</v>
      </c>
    </row>
    <row r="213006" spans="3:3" x14ac:dyDescent="0.25">
      <c r="C213006" s="10" t="s">
        <v>224</v>
      </c>
    </row>
    <row r="213007" spans="3:3" x14ac:dyDescent="0.25">
      <c r="C213007" s="10" t="s">
        <v>225</v>
      </c>
    </row>
    <row r="213008" spans="3:3" x14ac:dyDescent="0.25">
      <c r="C213008" s="10" t="s">
        <v>226</v>
      </c>
    </row>
    <row r="213009" spans="3:3" x14ac:dyDescent="0.25">
      <c r="C213009" s="10" t="s">
        <v>227</v>
      </c>
    </row>
    <row r="213010" spans="3:3" x14ac:dyDescent="0.25">
      <c r="C213010" s="10" t="s">
        <v>228</v>
      </c>
    </row>
    <row r="213011" spans="3:3" x14ac:dyDescent="0.25">
      <c r="C213011" s="10" t="s">
        <v>229</v>
      </c>
    </row>
    <row r="213012" spans="3:3" x14ac:dyDescent="0.25">
      <c r="C213012" s="12">
        <v>0.05</v>
      </c>
    </row>
    <row r="213013" spans="3:3" x14ac:dyDescent="0.25">
      <c r="C213013" s="10" t="s">
        <v>230</v>
      </c>
    </row>
    <row r="213014" spans="3:3" x14ac:dyDescent="0.25">
      <c r="C213014" s="10" t="s">
        <v>231</v>
      </c>
    </row>
    <row r="213015" spans="3:3" x14ac:dyDescent="0.25">
      <c r="C213015" s="10">
        <v>16</v>
      </c>
    </row>
    <row r="213016" spans="3:3" x14ac:dyDescent="0.25">
      <c r="C213016" s="10">
        <v>12</v>
      </c>
    </row>
    <row r="213017" spans="3:3" x14ac:dyDescent="0.25">
      <c r="C213017" s="10">
        <v>14</v>
      </c>
    </row>
    <row r="213018" spans="3:3" x14ac:dyDescent="0.25">
      <c r="C213018" s="10">
        <v>12</v>
      </c>
    </row>
    <row r="213019" spans="3:3" x14ac:dyDescent="0.25">
      <c r="C213019" s="10">
        <v>8</v>
      </c>
    </row>
    <row r="213020" spans="3:3" x14ac:dyDescent="0.25">
      <c r="C213020" s="10">
        <v>2</v>
      </c>
    </row>
    <row r="213021" spans="3:3" x14ac:dyDescent="0.25">
      <c r="C213021" s="10">
        <v>18</v>
      </c>
    </row>
    <row r="213022" spans="3:3" x14ac:dyDescent="0.25">
      <c r="C213022" s="10">
        <v>17</v>
      </c>
    </row>
    <row r="213023" spans="3:3" x14ac:dyDescent="0.25">
      <c r="C213023" s="10">
        <v>3</v>
      </c>
    </row>
    <row r="213024" spans="3:3" x14ac:dyDescent="0.25">
      <c r="C213024" s="10">
        <v>2</v>
      </c>
    </row>
    <row r="213025" spans="3:3" x14ac:dyDescent="0.25">
      <c r="C213025" s="10">
        <v>9</v>
      </c>
    </row>
    <row r="213026" spans="3:3" x14ac:dyDescent="0.25">
      <c r="C213026" s="10">
        <v>9</v>
      </c>
    </row>
    <row r="213027" spans="3:3" x14ac:dyDescent="0.25">
      <c r="C213027" s="10">
        <v>7</v>
      </c>
    </row>
    <row r="213028" spans="3:3" x14ac:dyDescent="0.25">
      <c r="C213028" s="10">
        <v>7</v>
      </c>
    </row>
    <row r="213029" spans="3:3" x14ac:dyDescent="0.25">
      <c r="C213029" s="10">
        <v>136</v>
      </c>
    </row>
    <row r="229377" spans="3:3" ht="30" x14ac:dyDescent="0.25">
      <c r="C229377" s="10" t="s">
        <v>214</v>
      </c>
    </row>
    <row r="229378" spans="3:3" x14ac:dyDescent="0.25">
      <c r="C229378" s="10" t="s">
        <v>215</v>
      </c>
    </row>
    <row r="229379" spans="3:3" x14ac:dyDescent="0.25">
      <c r="C229379" s="11">
        <v>42166</v>
      </c>
    </row>
    <row r="229380" spans="3:3" x14ac:dyDescent="0.25">
      <c r="C229380" s="10" t="s">
        <v>216</v>
      </c>
    </row>
    <row r="229381" spans="3:3" ht="30" x14ac:dyDescent="0.25">
      <c r="C229381" s="10" t="s">
        <v>217</v>
      </c>
    </row>
    <row r="229382" spans="3:3" x14ac:dyDescent="0.25">
      <c r="C229382" s="10" t="s">
        <v>218</v>
      </c>
    </row>
    <row r="229383" spans="3:3" x14ac:dyDescent="0.25">
      <c r="C229383" s="10" t="s">
        <v>218</v>
      </c>
    </row>
    <row r="229384" spans="3:3" x14ac:dyDescent="0.25">
      <c r="C229384" s="10" t="s">
        <v>219</v>
      </c>
    </row>
    <row r="229385" spans="3:3" x14ac:dyDescent="0.25">
      <c r="C229385" s="10" t="s">
        <v>220</v>
      </c>
    </row>
    <row r="229386" spans="3:3" x14ac:dyDescent="0.25">
      <c r="C229386" s="10" t="s">
        <v>221</v>
      </c>
    </row>
    <row r="229387" spans="3:3" x14ac:dyDescent="0.25">
      <c r="C229387" s="10" t="s">
        <v>222</v>
      </c>
    </row>
    <row r="229388" spans="3:3" x14ac:dyDescent="0.25">
      <c r="C229388" s="10" t="s">
        <v>183</v>
      </c>
    </row>
    <row r="229389" spans="3:3" ht="30" x14ac:dyDescent="0.25">
      <c r="C229389" s="10" t="s">
        <v>223</v>
      </c>
    </row>
    <row r="229390" spans="3:3" x14ac:dyDescent="0.25">
      <c r="C229390" s="10" t="s">
        <v>224</v>
      </c>
    </row>
    <row r="229391" spans="3:3" x14ac:dyDescent="0.25">
      <c r="C229391" s="10" t="s">
        <v>225</v>
      </c>
    </row>
    <row r="229392" spans="3:3" x14ac:dyDescent="0.25">
      <c r="C229392" s="10" t="s">
        <v>226</v>
      </c>
    </row>
    <row r="229393" spans="3:3" x14ac:dyDescent="0.25">
      <c r="C229393" s="10" t="s">
        <v>227</v>
      </c>
    </row>
    <row r="229394" spans="3:3" x14ac:dyDescent="0.25">
      <c r="C229394" s="10" t="s">
        <v>228</v>
      </c>
    </row>
    <row r="229395" spans="3:3" x14ac:dyDescent="0.25">
      <c r="C229395" s="10" t="s">
        <v>229</v>
      </c>
    </row>
    <row r="229396" spans="3:3" x14ac:dyDescent="0.25">
      <c r="C229396" s="12">
        <v>0.05</v>
      </c>
    </row>
    <row r="229397" spans="3:3" x14ac:dyDescent="0.25">
      <c r="C229397" s="10" t="s">
        <v>230</v>
      </c>
    </row>
    <row r="229398" spans="3:3" x14ac:dyDescent="0.25">
      <c r="C229398" s="10" t="s">
        <v>231</v>
      </c>
    </row>
    <row r="229399" spans="3:3" x14ac:dyDescent="0.25">
      <c r="C229399" s="10">
        <v>16</v>
      </c>
    </row>
    <row r="229400" spans="3:3" x14ac:dyDescent="0.25">
      <c r="C229400" s="10">
        <v>12</v>
      </c>
    </row>
    <row r="229401" spans="3:3" x14ac:dyDescent="0.25">
      <c r="C229401" s="10">
        <v>14</v>
      </c>
    </row>
    <row r="229402" spans="3:3" x14ac:dyDescent="0.25">
      <c r="C229402" s="10">
        <v>12</v>
      </c>
    </row>
    <row r="229403" spans="3:3" x14ac:dyDescent="0.25">
      <c r="C229403" s="10">
        <v>8</v>
      </c>
    </row>
    <row r="229404" spans="3:3" x14ac:dyDescent="0.25">
      <c r="C229404" s="10">
        <v>2</v>
      </c>
    </row>
    <row r="229405" spans="3:3" x14ac:dyDescent="0.25">
      <c r="C229405" s="10">
        <v>18</v>
      </c>
    </row>
    <row r="229406" spans="3:3" x14ac:dyDescent="0.25">
      <c r="C229406" s="10">
        <v>17</v>
      </c>
    </row>
    <row r="229407" spans="3:3" x14ac:dyDescent="0.25">
      <c r="C229407" s="10">
        <v>3</v>
      </c>
    </row>
    <row r="229408" spans="3:3" x14ac:dyDescent="0.25">
      <c r="C229408" s="10">
        <v>2</v>
      </c>
    </row>
    <row r="229409" spans="3:3" x14ac:dyDescent="0.25">
      <c r="C229409" s="10">
        <v>9</v>
      </c>
    </row>
    <row r="229410" spans="3:3" x14ac:dyDescent="0.25">
      <c r="C229410" s="10">
        <v>9</v>
      </c>
    </row>
    <row r="229411" spans="3:3" x14ac:dyDescent="0.25">
      <c r="C229411" s="10">
        <v>7</v>
      </c>
    </row>
    <row r="229412" spans="3:3" x14ac:dyDescent="0.25">
      <c r="C229412" s="10">
        <v>7</v>
      </c>
    </row>
    <row r="229413" spans="3:3" x14ac:dyDescent="0.25">
      <c r="C229413" s="10">
        <v>136</v>
      </c>
    </row>
    <row r="245761" spans="3:3" ht="30" x14ac:dyDescent="0.25">
      <c r="C245761" s="10" t="s">
        <v>214</v>
      </c>
    </row>
    <row r="245762" spans="3:3" x14ac:dyDescent="0.25">
      <c r="C245762" s="10" t="s">
        <v>215</v>
      </c>
    </row>
    <row r="245763" spans="3:3" x14ac:dyDescent="0.25">
      <c r="C245763" s="11">
        <v>42166</v>
      </c>
    </row>
    <row r="245764" spans="3:3" x14ac:dyDescent="0.25">
      <c r="C245764" s="10" t="s">
        <v>216</v>
      </c>
    </row>
    <row r="245765" spans="3:3" ht="30" x14ac:dyDescent="0.25">
      <c r="C245765" s="10" t="s">
        <v>217</v>
      </c>
    </row>
    <row r="245766" spans="3:3" x14ac:dyDescent="0.25">
      <c r="C245766" s="10" t="s">
        <v>218</v>
      </c>
    </row>
    <row r="245767" spans="3:3" x14ac:dyDescent="0.25">
      <c r="C245767" s="10" t="s">
        <v>218</v>
      </c>
    </row>
    <row r="245768" spans="3:3" x14ac:dyDescent="0.25">
      <c r="C245768" s="10" t="s">
        <v>219</v>
      </c>
    </row>
    <row r="245769" spans="3:3" x14ac:dyDescent="0.25">
      <c r="C245769" s="10" t="s">
        <v>220</v>
      </c>
    </row>
    <row r="245770" spans="3:3" x14ac:dyDescent="0.25">
      <c r="C245770" s="10" t="s">
        <v>221</v>
      </c>
    </row>
    <row r="245771" spans="3:3" x14ac:dyDescent="0.25">
      <c r="C245771" s="10" t="s">
        <v>222</v>
      </c>
    </row>
    <row r="245772" spans="3:3" x14ac:dyDescent="0.25">
      <c r="C245772" s="10" t="s">
        <v>183</v>
      </c>
    </row>
    <row r="245773" spans="3:3" ht="30" x14ac:dyDescent="0.25">
      <c r="C245773" s="10" t="s">
        <v>223</v>
      </c>
    </row>
    <row r="245774" spans="3:3" x14ac:dyDescent="0.25">
      <c r="C245774" s="10" t="s">
        <v>224</v>
      </c>
    </row>
    <row r="245775" spans="3:3" x14ac:dyDescent="0.25">
      <c r="C245775" s="10" t="s">
        <v>225</v>
      </c>
    </row>
    <row r="245776" spans="3:3" x14ac:dyDescent="0.25">
      <c r="C245776" s="10" t="s">
        <v>226</v>
      </c>
    </row>
    <row r="245777" spans="3:3" x14ac:dyDescent="0.25">
      <c r="C245777" s="10" t="s">
        <v>227</v>
      </c>
    </row>
    <row r="245778" spans="3:3" x14ac:dyDescent="0.25">
      <c r="C245778" s="10" t="s">
        <v>228</v>
      </c>
    </row>
    <row r="245779" spans="3:3" x14ac:dyDescent="0.25">
      <c r="C245779" s="10" t="s">
        <v>229</v>
      </c>
    </row>
    <row r="245780" spans="3:3" x14ac:dyDescent="0.25">
      <c r="C245780" s="12">
        <v>0.05</v>
      </c>
    </row>
    <row r="245781" spans="3:3" x14ac:dyDescent="0.25">
      <c r="C245781" s="10" t="s">
        <v>230</v>
      </c>
    </row>
    <row r="245782" spans="3:3" x14ac:dyDescent="0.25">
      <c r="C245782" s="10" t="s">
        <v>231</v>
      </c>
    </row>
    <row r="245783" spans="3:3" x14ac:dyDescent="0.25">
      <c r="C245783" s="10">
        <v>16</v>
      </c>
    </row>
    <row r="245784" spans="3:3" x14ac:dyDescent="0.25">
      <c r="C245784" s="10">
        <v>12</v>
      </c>
    </row>
    <row r="245785" spans="3:3" x14ac:dyDescent="0.25">
      <c r="C245785" s="10">
        <v>14</v>
      </c>
    </row>
    <row r="245786" spans="3:3" x14ac:dyDescent="0.25">
      <c r="C245786" s="10">
        <v>12</v>
      </c>
    </row>
    <row r="245787" spans="3:3" x14ac:dyDescent="0.25">
      <c r="C245787" s="10">
        <v>8</v>
      </c>
    </row>
    <row r="245788" spans="3:3" x14ac:dyDescent="0.25">
      <c r="C245788" s="10">
        <v>2</v>
      </c>
    </row>
    <row r="245789" spans="3:3" x14ac:dyDescent="0.25">
      <c r="C245789" s="10">
        <v>18</v>
      </c>
    </row>
    <row r="245790" spans="3:3" x14ac:dyDescent="0.25">
      <c r="C245790" s="10">
        <v>17</v>
      </c>
    </row>
    <row r="245791" spans="3:3" x14ac:dyDescent="0.25">
      <c r="C245791" s="10">
        <v>3</v>
      </c>
    </row>
    <row r="245792" spans="3:3" x14ac:dyDescent="0.25">
      <c r="C245792" s="10">
        <v>2</v>
      </c>
    </row>
    <row r="245793" spans="3:3" x14ac:dyDescent="0.25">
      <c r="C245793" s="10">
        <v>9</v>
      </c>
    </row>
    <row r="245794" spans="3:3" x14ac:dyDescent="0.25">
      <c r="C245794" s="10">
        <v>9</v>
      </c>
    </row>
    <row r="245795" spans="3:3" x14ac:dyDescent="0.25">
      <c r="C245795" s="10">
        <v>7</v>
      </c>
    </row>
    <row r="245796" spans="3:3" x14ac:dyDescent="0.25">
      <c r="C245796" s="10">
        <v>7</v>
      </c>
    </row>
    <row r="245797" spans="3:3" x14ac:dyDescent="0.25">
      <c r="C245797" s="10">
        <v>136</v>
      </c>
    </row>
    <row r="262145" spans="3:3" ht="30" x14ac:dyDescent="0.25">
      <c r="C262145" s="10" t="s">
        <v>214</v>
      </c>
    </row>
    <row r="262146" spans="3:3" x14ac:dyDescent="0.25">
      <c r="C262146" s="10" t="s">
        <v>215</v>
      </c>
    </row>
    <row r="262147" spans="3:3" x14ac:dyDescent="0.25">
      <c r="C262147" s="11">
        <v>42166</v>
      </c>
    </row>
    <row r="262148" spans="3:3" x14ac:dyDescent="0.25">
      <c r="C262148" s="10" t="s">
        <v>216</v>
      </c>
    </row>
    <row r="262149" spans="3:3" ht="30" x14ac:dyDescent="0.25">
      <c r="C262149" s="10" t="s">
        <v>217</v>
      </c>
    </row>
    <row r="262150" spans="3:3" x14ac:dyDescent="0.25">
      <c r="C262150" s="10" t="s">
        <v>218</v>
      </c>
    </row>
    <row r="262151" spans="3:3" x14ac:dyDescent="0.25">
      <c r="C262151" s="10" t="s">
        <v>218</v>
      </c>
    </row>
    <row r="262152" spans="3:3" x14ac:dyDescent="0.25">
      <c r="C262152" s="10" t="s">
        <v>219</v>
      </c>
    </row>
    <row r="262153" spans="3:3" x14ac:dyDescent="0.25">
      <c r="C262153" s="10" t="s">
        <v>220</v>
      </c>
    </row>
    <row r="262154" spans="3:3" x14ac:dyDescent="0.25">
      <c r="C262154" s="10" t="s">
        <v>221</v>
      </c>
    </row>
    <row r="262155" spans="3:3" x14ac:dyDescent="0.25">
      <c r="C262155" s="10" t="s">
        <v>222</v>
      </c>
    </row>
    <row r="262156" spans="3:3" x14ac:dyDescent="0.25">
      <c r="C262156" s="10" t="s">
        <v>183</v>
      </c>
    </row>
    <row r="262157" spans="3:3" ht="30" x14ac:dyDescent="0.25">
      <c r="C262157" s="10" t="s">
        <v>223</v>
      </c>
    </row>
    <row r="262158" spans="3:3" x14ac:dyDescent="0.25">
      <c r="C262158" s="10" t="s">
        <v>224</v>
      </c>
    </row>
    <row r="262159" spans="3:3" x14ac:dyDescent="0.25">
      <c r="C262159" s="10" t="s">
        <v>225</v>
      </c>
    </row>
    <row r="262160" spans="3:3" x14ac:dyDescent="0.25">
      <c r="C262160" s="10" t="s">
        <v>226</v>
      </c>
    </row>
    <row r="262161" spans="3:3" x14ac:dyDescent="0.25">
      <c r="C262161" s="10" t="s">
        <v>227</v>
      </c>
    </row>
    <row r="262162" spans="3:3" x14ac:dyDescent="0.25">
      <c r="C262162" s="10" t="s">
        <v>228</v>
      </c>
    </row>
    <row r="262163" spans="3:3" x14ac:dyDescent="0.25">
      <c r="C262163" s="10" t="s">
        <v>229</v>
      </c>
    </row>
    <row r="262164" spans="3:3" x14ac:dyDescent="0.25">
      <c r="C262164" s="12">
        <v>0.05</v>
      </c>
    </row>
    <row r="262165" spans="3:3" x14ac:dyDescent="0.25">
      <c r="C262165" s="10" t="s">
        <v>230</v>
      </c>
    </row>
    <row r="262166" spans="3:3" x14ac:dyDescent="0.25">
      <c r="C262166" s="10" t="s">
        <v>231</v>
      </c>
    </row>
    <row r="262167" spans="3:3" x14ac:dyDescent="0.25">
      <c r="C262167" s="10">
        <v>16</v>
      </c>
    </row>
    <row r="262168" spans="3:3" x14ac:dyDescent="0.25">
      <c r="C262168" s="10">
        <v>12</v>
      </c>
    </row>
    <row r="262169" spans="3:3" x14ac:dyDescent="0.25">
      <c r="C262169" s="10">
        <v>14</v>
      </c>
    </row>
    <row r="262170" spans="3:3" x14ac:dyDescent="0.25">
      <c r="C262170" s="10">
        <v>12</v>
      </c>
    </row>
    <row r="262171" spans="3:3" x14ac:dyDescent="0.25">
      <c r="C262171" s="10">
        <v>8</v>
      </c>
    </row>
    <row r="262172" spans="3:3" x14ac:dyDescent="0.25">
      <c r="C262172" s="10">
        <v>2</v>
      </c>
    </row>
    <row r="262173" spans="3:3" x14ac:dyDescent="0.25">
      <c r="C262173" s="10">
        <v>18</v>
      </c>
    </row>
    <row r="262174" spans="3:3" x14ac:dyDescent="0.25">
      <c r="C262174" s="10">
        <v>17</v>
      </c>
    </row>
    <row r="262175" spans="3:3" x14ac:dyDescent="0.25">
      <c r="C262175" s="10">
        <v>3</v>
      </c>
    </row>
    <row r="262176" spans="3:3" x14ac:dyDescent="0.25">
      <c r="C262176" s="10">
        <v>2</v>
      </c>
    </row>
    <row r="262177" spans="3:3" x14ac:dyDescent="0.25">
      <c r="C262177" s="10">
        <v>9</v>
      </c>
    </row>
    <row r="262178" spans="3:3" x14ac:dyDescent="0.25">
      <c r="C262178" s="10">
        <v>9</v>
      </c>
    </row>
    <row r="262179" spans="3:3" x14ac:dyDescent="0.25">
      <c r="C262179" s="10">
        <v>7</v>
      </c>
    </row>
    <row r="262180" spans="3:3" x14ac:dyDescent="0.25">
      <c r="C262180" s="10">
        <v>7</v>
      </c>
    </row>
    <row r="262181" spans="3:3" x14ac:dyDescent="0.25">
      <c r="C262181" s="10">
        <v>136</v>
      </c>
    </row>
    <row r="278529" spans="3:3" ht="30" x14ac:dyDescent="0.25">
      <c r="C278529" s="10" t="s">
        <v>214</v>
      </c>
    </row>
    <row r="278530" spans="3:3" x14ac:dyDescent="0.25">
      <c r="C278530" s="10" t="s">
        <v>215</v>
      </c>
    </row>
    <row r="278531" spans="3:3" x14ac:dyDescent="0.25">
      <c r="C278531" s="11">
        <v>42166</v>
      </c>
    </row>
    <row r="278532" spans="3:3" x14ac:dyDescent="0.25">
      <c r="C278532" s="10" t="s">
        <v>216</v>
      </c>
    </row>
    <row r="278533" spans="3:3" ht="30" x14ac:dyDescent="0.25">
      <c r="C278533" s="10" t="s">
        <v>217</v>
      </c>
    </row>
    <row r="278534" spans="3:3" x14ac:dyDescent="0.25">
      <c r="C278534" s="10" t="s">
        <v>218</v>
      </c>
    </row>
    <row r="278535" spans="3:3" x14ac:dyDescent="0.25">
      <c r="C278535" s="10" t="s">
        <v>218</v>
      </c>
    </row>
    <row r="278536" spans="3:3" x14ac:dyDescent="0.25">
      <c r="C278536" s="10" t="s">
        <v>219</v>
      </c>
    </row>
    <row r="278537" spans="3:3" x14ac:dyDescent="0.25">
      <c r="C278537" s="10" t="s">
        <v>220</v>
      </c>
    </row>
    <row r="278538" spans="3:3" x14ac:dyDescent="0.25">
      <c r="C278538" s="10" t="s">
        <v>221</v>
      </c>
    </row>
    <row r="278539" spans="3:3" x14ac:dyDescent="0.25">
      <c r="C278539" s="10" t="s">
        <v>222</v>
      </c>
    </row>
    <row r="278540" spans="3:3" x14ac:dyDescent="0.25">
      <c r="C278540" s="10" t="s">
        <v>183</v>
      </c>
    </row>
    <row r="278541" spans="3:3" ht="30" x14ac:dyDescent="0.25">
      <c r="C278541" s="10" t="s">
        <v>223</v>
      </c>
    </row>
    <row r="278542" spans="3:3" x14ac:dyDescent="0.25">
      <c r="C278542" s="10" t="s">
        <v>224</v>
      </c>
    </row>
    <row r="278543" spans="3:3" x14ac:dyDescent="0.25">
      <c r="C278543" s="10" t="s">
        <v>225</v>
      </c>
    </row>
    <row r="278544" spans="3:3" x14ac:dyDescent="0.25">
      <c r="C278544" s="10" t="s">
        <v>226</v>
      </c>
    </row>
    <row r="278545" spans="3:3" x14ac:dyDescent="0.25">
      <c r="C278545" s="10" t="s">
        <v>227</v>
      </c>
    </row>
    <row r="278546" spans="3:3" x14ac:dyDescent="0.25">
      <c r="C278546" s="10" t="s">
        <v>228</v>
      </c>
    </row>
    <row r="278547" spans="3:3" x14ac:dyDescent="0.25">
      <c r="C278547" s="10" t="s">
        <v>229</v>
      </c>
    </row>
    <row r="278548" spans="3:3" x14ac:dyDescent="0.25">
      <c r="C278548" s="12">
        <v>0.05</v>
      </c>
    </row>
    <row r="278549" spans="3:3" x14ac:dyDescent="0.25">
      <c r="C278549" s="10" t="s">
        <v>230</v>
      </c>
    </row>
    <row r="278550" spans="3:3" x14ac:dyDescent="0.25">
      <c r="C278550" s="10" t="s">
        <v>231</v>
      </c>
    </row>
    <row r="278551" spans="3:3" x14ac:dyDescent="0.25">
      <c r="C278551" s="10">
        <v>16</v>
      </c>
    </row>
    <row r="278552" spans="3:3" x14ac:dyDescent="0.25">
      <c r="C278552" s="10">
        <v>12</v>
      </c>
    </row>
    <row r="278553" spans="3:3" x14ac:dyDescent="0.25">
      <c r="C278553" s="10">
        <v>14</v>
      </c>
    </row>
    <row r="278554" spans="3:3" x14ac:dyDescent="0.25">
      <c r="C278554" s="10">
        <v>12</v>
      </c>
    </row>
    <row r="278555" spans="3:3" x14ac:dyDescent="0.25">
      <c r="C278555" s="10">
        <v>8</v>
      </c>
    </row>
    <row r="278556" spans="3:3" x14ac:dyDescent="0.25">
      <c r="C278556" s="10">
        <v>2</v>
      </c>
    </row>
    <row r="278557" spans="3:3" x14ac:dyDescent="0.25">
      <c r="C278557" s="10">
        <v>18</v>
      </c>
    </row>
    <row r="278558" spans="3:3" x14ac:dyDescent="0.25">
      <c r="C278558" s="10">
        <v>17</v>
      </c>
    </row>
    <row r="278559" spans="3:3" x14ac:dyDescent="0.25">
      <c r="C278559" s="10">
        <v>3</v>
      </c>
    </row>
    <row r="278560" spans="3:3" x14ac:dyDescent="0.25">
      <c r="C278560" s="10">
        <v>2</v>
      </c>
    </row>
    <row r="278561" spans="3:3" x14ac:dyDescent="0.25">
      <c r="C278561" s="10">
        <v>9</v>
      </c>
    </row>
    <row r="278562" spans="3:3" x14ac:dyDescent="0.25">
      <c r="C278562" s="10">
        <v>9</v>
      </c>
    </row>
    <row r="278563" spans="3:3" x14ac:dyDescent="0.25">
      <c r="C278563" s="10">
        <v>7</v>
      </c>
    </row>
    <row r="278564" spans="3:3" x14ac:dyDescent="0.25">
      <c r="C278564" s="10">
        <v>7</v>
      </c>
    </row>
    <row r="278565" spans="3:3" x14ac:dyDescent="0.25">
      <c r="C278565" s="10">
        <v>136</v>
      </c>
    </row>
    <row r="294913" spans="3:3" ht="30" x14ac:dyDescent="0.25">
      <c r="C294913" s="10" t="s">
        <v>214</v>
      </c>
    </row>
    <row r="294914" spans="3:3" x14ac:dyDescent="0.25">
      <c r="C294914" s="10" t="s">
        <v>215</v>
      </c>
    </row>
    <row r="294915" spans="3:3" x14ac:dyDescent="0.25">
      <c r="C294915" s="11">
        <v>42166</v>
      </c>
    </row>
    <row r="294916" spans="3:3" x14ac:dyDescent="0.25">
      <c r="C294916" s="10" t="s">
        <v>216</v>
      </c>
    </row>
    <row r="294917" spans="3:3" ht="30" x14ac:dyDescent="0.25">
      <c r="C294917" s="10" t="s">
        <v>217</v>
      </c>
    </row>
    <row r="294918" spans="3:3" x14ac:dyDescent="0.25">
      <c r="C294918" s="10" t="s">
        <v>218</v>
      </c>
    </row>
    <row r="294919" spans="3:3" x14ac:dyDescent="0.25">
      <c r="C294919" s="10" t="s">
        <v>218</v>
      </c>
    </row>
    <row r="294920" spans="3:3" x14ac:dyDescent="0.25">
      <c r="C294920" s="10" t="s">
        <v>219</v>
      </c>
    </row>
    <row r="294921" spans="3:3" x14ac:dyDescent="0.25">
      <c r="C294921" s="10" t="s">
        <v>220</v>
      </c>
    </row>
    <row r="294922" spans="3:3" x14ac:dyDescent="0.25">
      <c r="C294922" s="10" t="s">
        <v>221</v>
      </c>
    </row>
    <row r="294923" spans="3:3" x14ac:dyDescent="0.25">
      <c r="C294923" s="10" t="s">
        <v>222</v>
      </c>
    </row>
    <row r="294924" spans="3:3" x14ac:dyDescent="0.25">
      <c r="C294924" s="10" t="s">
        <v>183</v>
      </c>
    </row>
    <row r="294925" spans="3:3" ht="30" x14ac:dyDescent="0.25">
      <c r="C294925" s="10" t="s">
        <v>223</v>
      </c>
    </row>
    <row r="294926" spans="3:3" x14ac:dyDescent="0.25">
      <c r="C294926" s="10" t="s">
        <v>224</v>
      </c>
    </row>
    <row r="294927" spans="3:3" x14ac:dyDescent="0.25">
      <c r="C294927" s="10" t="s">
        <v>225</v>
      </c>
    </row>
    <row r="294928" spans="3:3" x14ac:dyDescent="0.25">
      <c r="C294928" s="10" t="s">
        <v>226</v>
      </c>
    </row>
    <row r="294929" spans="3:3" x14ac:dyDescent="0.25">
      <c r="C294929" s="10" t="s">
        <v>227</v>
      </c>
    </row>
    <row r="294930" spans="3:3" x14ac:dyDescent="0.25">
      <c r="C294930" s="10" t="s">
        <v>228</v>
      </c>
    </row>
    <row r="294931" spans="3:3" x14ac:dyDescent="0.25">
      <c r="C294931" s="10" t="s">
        <v>229</v>
      </c>
    </row>
    <row r="294932" spans="3:3" x14ac:dyDescent="0.25">
      <c r="C294932" s="12">
        <v>0.05</v>
      </c>
    </row>
    <row r="294933" spans="3:3" x14ac:dyDescent="0.25">
      <c r="C294933" s="10" t="s">
        <v>230</v>
      </c>
    </row>
    <row r="294934" spans="3:3" x14ac:dyDescent="0.25">
      <c r="C294934" s="10" t="s">
        <v>231</v>
      </c>
    </row>
    <row r="294935" spans="3:3" x14ac:dyDescent="0.25">
      <c r="C294935" s="10">
        <v>16</v>
      </c>
    </row>
    <row r="294936" spans="3:3" x14ac:dyDescent="0.25">
      <c r="C294936" s="10">
        <v>12</v>
      </c>
    </row>
    <row r="294937" spans="3:3" x14ac:dyDescent="0.25">
      <c r="C294937" s="10">
        <v>14</v>
      </c>
    </row>
    <row r="294938" spans="3:3" x14ac:dyDescent="0.25">
      <c r="C294938" s="10">
        <v>12</v>
      </c>
    </row>
    <row r="294939" spans="3:3" x14ac:dyDescent="0.25">
      <c r="C294939" s="10">
        <v>8</v>
      </c>
    </row>
    <row r="294940" spans="3:3" x14ac:dyDescent="0.25">
      <c r="C294940" s="10">
        <v>2</v>
      </c>
    </row>
    <row r="294941" spans="3:3" x14ac:dyDescent="0.25">
      <c r="C294941" s="10">
        <v>18</v>
      </c>
    </row>
    <row r="294942" spans="3:3" x14ac:dyDescent="0.25">
      <c r="C294942" s="10">
        <v>17</v>
      </c>
    </row>
    <row r="294943" spans="3:3" x14ac:dyDescent="0.25">
      <c r="C294943" s="10">
        <v>3</v>
      </c>
    </row>
    <row r="294944" spans="3:3" x14ac:dyDescent="0.25">
      <c r="C294944" s="10">
        <v>2</v>
      </c>
    </row>
    <row r="294945" spans="3:3" x14ac:dyDescent="0.25">
      <c r="C294945" s="10">
        <v>9</v>
      </c>
    </row>
    <row r="294946" spans="3:3" x14ac:dyDescent="0.25">
      <c r="C294946" s="10">
        <v>9</v>
      </c>
    </row>
    <row r="294947" spans="3:3" x14ac:dyDescent="0.25">
      <c r="C294947" s="10">
        <v>7</v>
      </c>
    </row>
    <row r="294948" spans="3:3" x14ac:dyDescent="0.25">
      <c r="C294948" s="10">
        <v>7</v>
      </c>
    </row>
    <row r="294949" spans="3:3" x14ac:dyDescent="0.25">
      <c r="C294949" s="10">
        <v>136</v>
      </c>
    </row>
    <row r="311297" spans="3:3" ht="30" x14ac:dyDescent="0.25">
      <c r="C311297" s="10" t="s">
        <v>214</v>
      </c>
    </row>
    <row r="311298" spans="3:3" x14ac:dyDescent="0.25">
      <c r="C311298" s="10" t="s">
        <v>215</v>
      </c>
    </row>
    <row r="311299" spans="3:3" x14ac:dyDescent="0.25">
      <c r="C311299" s="11">
        <v>42166</v>
      </c>
    </row>
    <row r="311300" spans="3:3" x14ac:dyDescent="0.25">
      <c r="C311300" s="10" t="s">
        <v>216</v>
      </c>
    </row>
    <row r="311301" spans="3:3" ht="30" x14ac:dyDescent="0.25">
      <c r="C311301" s="10" t="s">
        <v>217</v>
      </c>
    </row>
    <row r="311302" spans="3:3" x14ac:dyDescent="0.25">
      <c r="C311302" s="10" t="s">
        <v>218</v>
      </c>
    </row>
    <row r="311303" spans="3:3" x14ac:dyDescent="0.25">
      <c r="C311303" s="10" t="s">
        <v>218</v>
      </c>
    </row>
    <row r="311304" spans="3:3" x14ac:dyDescent="0.25">
      <c r="C311304" s="10" t="s">
        <v>219</v>
      </c>
    </row>
    <row r="311305" spans="3:3" x14ac:dyDescent="0.25">
      <c r="C311305" s="10" t="s">
        <v>220</v>
      </c>
    </row>
    <row r="311306" spans="3:3" x14ac:dyDescent="0.25">
      <c r="C311306" s="10" t="s">
        <v>221</v>
      </c>
    </row>
    <row r="311307" spans="3:3" x14ac:dyDescent="0.25">
      <c r="C311307" s="10" t="s">
        <v>222</v>
      </c>
    </row>
    <row r="311308" spans="3:3" x14ac:dyDescent="0.25">
      <c r="C311308" s="10" t="s">
        <v>183</v>
      </c>
    </row>
    <row r="311309" spans="3:3" ht="30" x14ac:dyDescent="0.25">
      <c r="C311309" s="10" t="s">
        <v>223</v>
      </c>
    </row>
    <row r="311310" spans="3:3" x14ac:dyDescent="0.25">
      <c r="C311310" s="10" t="s">
        <v>224</v>
      </c>
    </row>
    <row r="311311" spans="3:3" x14ac:dyDescent="0.25">
      <c r="C311311" s="10" t="s">
        <v>225</v>
      </c>
    </row>
    <row r="311312" spans="3:3" x14ac:dyDescent="0.25">
      <c r="C311312" s="10" t="s">
        <v>226</v>
      </c>
    </row>
    <row r="311313" spans="3:3" x14ac:dyDescent="0.25">
      <c r="C311313" s="10" t="s">
        <v>227</v>
      </c>
    </row>
    <row r="311314" spans="3:3" x14ac:dyDescent="0.25">
      <c r="C311314" s="10" t="s">
        <v>228</v>
      </c>
    </row>
    <row r="311315" spans="3:3" x14ac:dyDescent="0.25">
      <c r="C311315" s="10" t="s">
        <v>229</v>
      </c>
    </row>
    <row r="311316" spans="3:3" x14ac:dyDescent="0.25">
      <c r="C311316" s="12">
        <v>0.05</v>
      </c>
    </row>
    <row r="311317" spans="3:3" x14ac:dyDescent="0.25">
      <c r="C311317" s="10" t="s">
        <v>230</v>
      </c>
    </row>
    <row r="311318" spans="3:3" x14ac:dyDescent="0.25">
      <c r="C311318" s="10" t="s">
        <v>231</v>
      </c>
    </row>
    <row r="311319" spans="3:3" x14ac:dyDescent="0.25">
      <c r="C311319" s="10">
        <v>16</v>
      </c>
    </row>
    <row r="311320" spans="3:3" x14ac:dyDescent="0.25">
      <c r="C311320" s="10">
        <v>12</v>
      </c>
    </row>
    <row r="311321" spans="3:3" x14ac:dyDescent="0.25">
      <c r="C311321" s="10">
        <v>14</v>
      </c>
    </row>
    <row r="311322" spans="3:3" x14ac:dyDescent="0.25">
      <c r="C311322" s="10">
        <v>12</v>
      </c>
    </row>
    <row r="311323" spans="3:3" x14ac:dyDescent="0.25">
      <c r="C311323" s="10">
        <v>8</v>
      </c>
    </row>
    <row r="311324" spans="3:3" x14ac:dyDescent="0.25">
      <c r="C311324" s="10">
        <v>2</v>
      </c>
    </row>
    <row r="311325" spans="3:3" x14ac:dyDescent="0.25">
      <c r="C311325" s="10">
        <v>18</v>
      </c>
    </row>
    <row r="311326" spans="3:3" x14ac:dyDescent="0.25">
      <c r="C311326" s="10">
        <v>17</v>
      </c>
    </row>
    <row r="311327" spans="3:3" x14ac:dyDescent="0.25">
      <c r="C311327" s="10">
        <v>3</v>
      </c>
    </row>
    <row r="311328" spans="3:3" x14ac:dyDescent="0.25">
      <c r="C311328" s="10">
        <v>2</v>
      </c>
    </row>
    <row r="311329" spans="3:3" x14ac:dyDescent="0.25">
      <c r="C311329" s="10">
        <v>9</v>
      </c>
    </row>
    <row r="311330" spans="3:3" x14ac:dyDescent="0.25">
      <c r="C311330" s="10">
        <v>9</v>
      </c>
    </row>
    <row r="311331" spans="3:3" x14ac:dyDescent="0.25">
      <c r="C311331" s="10">
        <v>7</v>
      </c>
    </row>
    <row r="311332" spans="3:3" x14ac:dyDescent="0.25">
      <c r="C311332" s="10">
        <v>7</v>
      </c>
    </row>
    <row r="311333" spans="3:3" x14ac:dyDescent="0.25">
      <c r="C311333" s="10">
        <v>136</v>
      </c>
    </row>
    <row r="327681" spans="3:3" ht="30" x14ac:dyDescent="0.25">
      <c r="C327681" s="10" t="s">
        <v>214</v>
      </c>
    </row>
    <row r="327682" spans="3:3" x14ac:dyDescent="0.25">
      <c r="C327682" s="10" t="s">
        <v>215</v>
      </c>
    </row>
    <row r="327683" spans="3:3" x14ac:dyDescent="0.25">
      <c r="C327683" s="11">
        <v>42166</v>
      </c>
    </row>
    <row r="327684" spans="3:3" x14ac:dyDescent="0.25">
      <c r="C327684" s="10" t="s">
        <v>216</v>
      </c>
    </row>
    <row r="327685" spans="3:3" ht="30" x14ac:dyDescent="0.25">
      <c r="C327685" s="10" t="s">
        <v>217</v>
      </c>
    </row>
    <row r="327686" spans="3:3" x14ac:dyDescent="0.25">
      <c r="C327686" s="10" t="s">
        <v>218</v>
      </c>
    </row>
    <row r="327687" spans="3:3" x14ac:dyDescent="0.25">
      <c r="C327687" s="10" t="s">
        <v>218</v>
      </c>
    </row>
    <row r="327688" spans="3:3" x14ac:dyDescent="0.25">
      <c r="C327688" s="10" t="s">
        <v>219</v>
      </c>
    </row>
    <row r="327689" spans="3:3" x14ac:dyDescent="0.25">
      <c r="C327689" s="10" t="s">
        <v>220</v>
      </c>
    </row>
    <row r="327690" spans="3:3" x14ac:dyDescent="0.25">
      <c r="C327690" s="10" t="s">
        <v>221</v>
      </c>
    </row>
    <row r="327691" spans="3:3" x14ac:dyDescent="0.25">
      <c r="C327691" s="10" t="s">
        <v>222</v>
      </c>
    </row>
    <row r="327692" spans="3:3" x14ac:dyDescent="0.25">
      <c r="C327692" s="10" t="s">
        <v>183</v>
      </c>
    </row>
    <row r="327693" spans="3:3" ht="30" x14ac:dyDescent="0.25">
      <c r="C327693" s="10" t="s">
        <v>223</v>
      </c>
    </row>
    <row r="327694" spans="3:3" x14ac:dyDescent="0.25">
      <c r="C327694" s="10" t="s">
        <v>224</v>
      </c>
    </row>
    <row r="327695" spans="3:3" x14ac:dyDescent="0.25">
      <c r="C327695" s="10" t="s">
        <v>225</v>
      </c>
    </row>
    <row r="327696" spans="3:3" x14ac:dyDescent="0.25">
      <c r="C327696" s="10" t="s">
        <v>226</v>
      </c>
    </row>
    <row r="327697" spans="3:3" x14ac:dyDescent="0.25">
      <c r="C327697" s="10" t="s">
        <v>227</v>
      </c>
    </row>
    <row r="327698" spans="3:3" x14ac:dyDescent="0.25">
      <c r="C327698" s="10" t="s">
        <v>228</v>
      </c>
    </row>
    <row r="327699" spans="3:3" x14ac:dyDescent="0.25">
      <c r="C327699" s="10" t="s">
        <v>229</v>
      </c>
    </row>
    <row r="327700" spans="3:3" x14ac:dyDescent="0.25">
      <c r="C327700" s="12">
        <v>0.05</v>
      </c>
    </row>
    <row r="327701" spans="3:3" x14ac:dyDescent="0.25">
      <c r="C327701" s="10" t="s">
        <v>230</v>
      </c>
    </row>
    <row r="327702" spans="3:3" x14ac:dyDescent="0.25">
      <c r="C327702" s="10" t="s">
        <v>231</v>
      </c>
    </row>
    <row r="327703" spans="3:3" x14ac:dyDescent="0.25">
      <c r="C327703" s="10">
        <v>16</v>
      </c>
    </row>
    <row r="327704" spans="3:3" x14ac:dyDescent="0.25">
      <c r="C327704" s="10">
        <v>12</v>
      </c>
    </row>
    <row r="327705" spans="3:3" x14ac:dyDescent="0.25">
      <c r="C327705" s="10">
        <v>14</v>
      </c>
    </row>
    <row r="327706" spans="3:3" x14ac:dyDescent="0.25">
      <c r="C327706" s="10">
        <v>12</v>
      </c>
    </row>
    <row r="327707" spans="3:3" x14ac:dyDescent="0.25">
      <c r="C327707" s="10">
        <v>8</v>
      </c>
    </row>
    <row r="327708" spans="3:3" x14ac:dyDescent="0.25">
      <c r="C327708" s="10">
        <v>2</v>
      </c>
    </row>
    <row r="327709" spans="3:3" x14ac:dyDescent="0.25">
      <c r="C327709" s="10">
        <v>18</v>
      </c>
    </row>
    <row r="327710" spans="3:3" x14ac:dyDescent="0.25">
      <c r="C327710" s="10">
        <v>17</v>
      </c>
    </row>
    <row r="327711" spans="3:3" x14ac:dyDescent="0.25">
      <c r="C327711" s="10">
        <v>3</v>
      </c>
    </row>
    <row r="327712" spans="3:3" x14ac:dyDescent="0.25">
      <c r="C327712" s="10">
        <v>2</v>
      </c>
    </row>
    <row r="327713" spans="3:3" x14ac:dyDescent="0.25">
      <c r="C327713" s="10">
        <v>9</v>
      </c>
    </row>
    <row r="327714" spans="3:3" x14ac:dyDescent="0.25">
      <c r="C327714" s="10">
        <v>9</v>
      </c>
    </row>
    <row r="327715" spans="3:3" x14ac:dyDescent="0.25">
      <c r="C327715" s="10">
        <v>7</v>
      </c>
    </row>
    <row r="327716" spans="3:3" x14ac:dyDescent="0.25">
      <c r="C327716" s="10">
        <v>7</v>
      </c>
    </row>
    <row r="327717" spans="3:3" x14ac:dyDescent="0.25">
      <c r="C327717" s="10">
        <v>136</v>
      </c>
    </row>
    <row r="344065" spans="3:3" ht="30" x14ac:dyDescent="0.25">
      <c r="C344065" s="10" t="s">
        <v>214</v>
      </c>
    </row>
    <row r="344066" spans="3:3" x14ac:dyDescent="0.25">
      <c r="C344066" s="10" t="s">
        <v>215</v>
      </c>
    </row>
    <row r="344067" spans="3:3" x14ac:dyDescent="0.25">
      <c r="C344067" s="11">
        <v>42166</v>
      </c>
    </row>
    <row r="344068" spans="3:3" x14ac:dyDescent="0.25">
      <c r="C344068" s="10" t="s">
        <v>216</v>
      </c>
    </row>
    <row r="344069" spans="3:3" ht="30" x14ac:dyDescent="0.25">
      <c r="C344069" s="10" t="s">
        <v>217</v>
      </c>
    </row>
    <row r="344070" spans="3:3" x14ac:dyDescent="0.25">
      <c r="C344070" s="10" t="s">
        <v>218</v>
      </c>
    </row>
    <row r="344071" spans="3:3" x14ac:dyDescent="0.25">
      <c r="C344071" s="10" t="s">
        <v>218</v>
      </c>
    </row>
    <row r="344072" spans="3:3" x14ac:dyDescent="0.25">
      <c r="C344072" s="10" t="s">
        <v>219</v>
      </c>
    </row>
    <row r="344073" spans="3:3" x14ac:dyDescent="0.25">
      <c r="C344073" s="10" t="s">
        <v>220</v>
      </c>
    </row>
    <row r="344074" spans="3:3" x14ac:dyDescent="0.25">
      <c r="C344074" s="10" t="s">
        <v>221</v>
      </c>
    </row>
    <row r="344075" spans="3:3" x14ac:dyDescent="0.25">
      <c r="C344075" s="10" t="s">
        <v>222</v>
      </c>
    </row>
    <row r="344076" spans="3:3" x14ac:dyDescent="0.25">
      <c r="C344076" s="10" t="s">
        <v>183</v>
      </c>
    </row>
    <row r="344077" spans="3:3" ht="30" x14ac:dyDescent="0.25">
      <c r="C344077" s="10" t="s">
        <v>223</v>
      </c>
    </row>
    <row r="344078" spans="3:3" x14ac:dyDescent="0.25">
      <c r="C344078" s="10" t="s">
        <v>224</v>
      </c>
    </row>
    <row r="344079" spans="3:3" x14ac:dyDescent="0.25">
      <c r="C344079" s="10" t="s">
        <v>225</v>
      </c>
    </row>
    <row r="344080" spans="3:3" x14ac:dyDescent="0.25">
      <c r="C344080" s="10" t="s">
        <v>226</v>
      </c>
    </row>
    <row r="344081" spans="3:3" x14ac:dyDescent="0.25">
      <c r="C344081" s="10" t="s">
        <v>227</v>
      </c>
    </row>
    <row r="344082" spans="3:3" x14ac:dyDescent="0.25">
      <c r="C344082" s="10" t="s">
        <v>228</v>
      </c>
    </row>
    <row r="344083" spans="3:3" x14ac:dyDescent="0.25">
      <c r="C344083" s="10" t="s">
        <v>229</v>
      </c>
    </row>
    <row r="344084" spans="3:3" x14ac:dyDescent="0.25">
      <c r="C344084" s="12">
        <v>0.05</v>
      </c>
    </row>
    <row r="344085" spans="3:3" x14ac:dyDescent="0.25">
      <c r="C344085" s="10" t="s">
        <v>230</v>
      </c>
    </row>
    <row r="344086" spans="3:3" x14ac:dyDescent="0.25">
      <c r="C344086" s="10" t="s">
        <v>231</v>
      </c>
    </row>
    <row r="344087" spans="3:3" x14ac:dyDescent="0.25">
      <c r="C344087" s="10">
        <v>16</v>
      </c>
    </row>
    <row r="344088" spans="3:3" x14ac:dyDescent="0.25">
      <c r="C344088" s="10">
        <v>12</v>
      </c>
    </row>
    <row r="344089" spans="3:3" x14ac:dyDescent="0.25">
      <c r="C344089" s="10">
        <v>14</v>
      </c>
    </row>
    <row r="344090" spans="3:3" x14ac:dyDescent="0.25">
      <c r="C344090" s="10">
        <v>12</v>
      </c>
    </row>
    <row r="344091" spans="3:3" x14ac:dyDescent="0.25">
      <c r="C344091" s="10">
        <v>8</v>
      </c>
    </row>
    <row r="344092" spans="3:3" x14ac:dyDescent="0.25">
      <c r="C344092" s="10">
        <v>2</v>
      </c>
    </row>
    <row r="344093" spans="3:3" x14ac:dyDescent="0.25">
      <c r="C344093" s="10">
        <v>18</v>
      </c>
    </row>
    <row r="344094" spans="3:3" x14ac:dyDescent="0.25">
      <c r="C344094" s="10">
        <v>17</v>
      </c>
    </row>
    <row r="344095" spans="3:3" x14ac:dyDescent="0.25">
      <c r="C344095" s="10">
        <v>3</v>
      </c>
    </row>
    <row r="344096" spans="3:3" x14ac:dyDescent="0.25">
      <c r="C344096" s="10">
        <v>2</v>
      </c>
    </row>
    <row r="344097" spans="3:3" x14ac:dyDescent="0.25">
      <c r="C344097" s="10">
        <v>9</v>
      </c>
    </row>
    <row r="344098" spans="3:3" x14ac:dyDescent="0.25">
      <c r="C344098" s="10">
        <v>9</v>
      </c>
    </row>
    <row r="344099" spans="3:3" x14ac:dyDescent="0.25">
      <c r="C344099" s="10">
        <v>7</v>
      </c>
    </row>
    <row r="344100" spans="3:3" x14ac:dyDescent="0.25">
      <c r="C344100" s="10">
        <v>7</v>
      </c>
    </row>
    <row r="344101" spans="3:3" x14ac:dyDescent="0.25">
      <c r="C344101" s="10">
        <v>136</v>
      </c>
    </row>
    <row r="360449" spans="3:3" ht="30" x14ac:dyDescent="0.25">
      <c r="C360449" s="10" t="s">
        <v>214</v>
      </c>
    </row>
    <row r="360450" spans="3:3" x14ac:dyDescent="0.25">
      <c r="C360450" s="10" t="s">
        <v>215</v>
      </c>
    </row>
    <row r="360451" spans="3:3" x14ac:dyDescent="0.25">
      <c r="C360451" s="11">
        <v>42166</v>
      </c>
    </row>
    <row r="360452" spans="3:3" x14ac:dyDescent="0.25">
      <c r="C360452" s="10" t="s">
        <v>216</v>
      </c>
    </row>
    <row r="360453" spans="3:3" ht="30" x14ac:dyDescent="0.25">
      <c r="C360453" s="10" t="s">
        <v>217</v>
      </c>
    </row>
    <row r="360454" spans="3:3" x14ac:dyDescent="0.25">
      <c r="C360454" s="10" t="s">
        <v>218</v>
      </c>
    </row>
    <row r="360455" spans="3:3" x14ac:dyDescent="0.25">
      <c r="C360455" s="10" t="s">
        <v>218</v>
      </c>
    </row>
    <row r="360456" spans="3:3" x14ac:dyDescent="0.25">
      <c r="C360456" s="10" t="s">
        <v>219</v>
      </c>
    </row>
    <row r="360457" spans="3:3" x14ac:dyDescent="0.25">
      <c r="C360457" s="10" t="s">
        <v>220</v>
      </c>
    </row>
    <row r="360458" spans="3:3" x14ac:dyDescent="0.25">
      <c r="C360458" s="10" t="s">
        <v>221</v>
      </c>
    </row>
    <row r="360459" spans="3:3" x14ac:dyDescent="0.25">
      <c r="C360459" s="10" t="s">
        <v>222</v>
      </c>
    </row>
    <row r="360460" spans="3:3" x14ac:dyDescent="0.25">
      <c r="C360460" s="10" t="s">
        <v>183</v>
      </c>
    </row>
    <row r="360461" spans="3:3" ht="30" x14ac:dyDescent="0.25">
      <c r="C360461" s="10" t="s">
        <v>223</v>
      </c>
    </row>
    <row r="360462" spans="3:3" x14ac:dyDescent="0.25">
      <c r="C360462" s="10" t="s">
        <v>224</v>
      </c>
    </row>
    <row r="360463" spans="3:3" x14ac:dyDescent="0.25">
      <c r="C360463" s="10" t="s">
        <v>225</v>
      </c>
    </row>
    <row r="360464" spans="3:3" x14ac:dyDescent="0.25">
      <c r="C360464" s="10" t="s">
        <v>226</v>
      </c>
    </row>
    <row r="360465" spans="3:3" x14ac:dyDescent="0.25">
      <c r="C360465" s="10" t="s">
        <v>227</v>
      </c>
    </row>
    <row r="360466" spans="3:3" x14ac:dyDescent="0.25">
      <c r="C360466" s="10" t="s">
        <v>228</v>
      </c>
    </row>
    <row r="360467" spans="3:3" x14ac:dyDescent="0.25">
      <c r="C360467" s="10" t="s">
        <v>229</v>
      </c>
    </row>
    <row r="360468" spans="3:3" x14ac:dyDescent="0.25">
      <c r="C360468" s="12">
        <v>0.05</v>
      </c>
    </row>
    <row r="360469" spans="3:3" x14ac:dyDescent="0.25">
      <c r="C360469" s="10" t="s">
        <v>230</v>
      </c>
    </row>
    <row r="360470" spans="3:3" x14ac:dyDescent="0.25">
      <c r="C360470" s="10" t="s">
        <v>231</v>
      </c>
    </row>
    <row r="360471" spans="3:3" x14ac:dyDescent="0.25">
      <c r="C360471" s="10">
        <v>16</v>
      </c>
    </row>
    <row r="360472" spans="3:3" x14ac:dyDescent="0.25">
      <c r="C360472" s="10">
        <v>12</v>
      </c>
    </row>
    <row r="360473" spans="3:3" x14ac:dyDescent="0.25">
      <c r="C360473" s="10">
        <v>14</v>
      </c>
    </row>
    <row r="360474" spans="3:3" x14ac:dyDescent="0.25">
      <c r="C360474" s="10">
        <v>12</v>
      </c>
    </row>
    <row r="360475" spans="3:3" x14ac:dyDescent="0.25">
      <c r="C360475" s="10">
        <v>8</v>
      </c>
    </row>
    <row r="360476" spans="3:3" x14ac:dyDescent="0.25">
      <c r="C360476" s="10">
        <v>2</v>
      </c>
    </row>
    <row r="360477" spans="3:3" x14ac:dyDescent="0.25">
      <c r="C360477" s="10">
        <v>18</v>
      </c>
    </row>
    <row r="360478" spans="3:3" x14ac:dyDescent="0.25">
      <c r="C360478" s="10">
        <v>17</v>
      </c>
    </row>
    <row r="360479" spans="3:3" x14ac:dyDescent="0.25">
      <c r="C360479" s="10">
        <v>3</v>
      </c>
    </row>
    <row r="360480" spans="3:3" x14ac:dyDescent="0.25">
      <c r="C360480" s="10">
        <v>2</v>
      </c>
    </row>
    <row r="360481" spans="3:3" x14ac:dyDescent="0.25">
      <c r="C360481" s="10">
        <v>9</v>
      </c>
    </row>
    <row r="360482" spans="3:3" x14ac:dyDescent="0.25">
      <c r="C360482" s="10">
        <v>9</v>
      </c>
    </row>
    <row r="360483" spans="3:3" x14ac:dyDescent="0.25">
      <c r="C360483" s="10">
        <v>7</v>
      </c>
    </row>
    <row r="360484" spans="3:3" x14ac:dyDescent="0.25">
      <c r="C360484" s="10">
        <v>7</v>
      </c>
    </row>
    <row r="360485" spans="3:3" x14ac:dyDescent="0.25">
      <c r="C360485" s="10">
        <v>136</v>
      </c>
    </row>
    <row r="376833" spans="3:3" ht="30" x14ac:dyDescent="0.25">
      <c r="C376833" s="10" t="s">
        <v>214</v>
      </c>
    </row>
    <row r="376834" spans="3:3" x14ac:dyDescent="0.25">
      <c r="C376834" s="10" t="s">
        <v>215</v>
      </c>
    </row>
    <row r="376835" spans="3:3" x14ac:dyDescent="0.25">
      <c r="C376835" s="11">
        <v>42166</v>
      </c>
    </row>
    <row r="376836" spans="3:3" x14ac:dyDescent="0.25">
      <c r="C376836" s="10" t="s">
        <v>216</v>
      </c>
    </row>
    <row r="376837" spans="3:3" ht="30" x14ac:dyDescent="0.25">
      <c r="C376837" s="10" t="s">
        <v>217</v>
      </c>
    </row>
    <row r="376838" spans="3:3" x14ac:dyDescent="0.25">
      <c r="C376838" s="10" t="s">
        <v>218</v>
      </c>
    </row>
    <row r="376839" spans="3:3" x14ac:dyDescent="0.25">
      <c r="C376839" s="10" t="s">
        <v>218</v>
      </c>
    </row>
    <row r="376840" spans="3:3" x14ac:dyDescent="0.25">
      <c r="C376840" s="10" t="s">
        <v>219</v>
      </c>
    </row>
    <row r="376841" spans="3:3" x14ac:dyDescent="0.25">
      <c r="C376841" s="10" t="s">
        <v>220</v>
      </c>
    </row>
    <row r="376842" spans="3:3" x14ac:dyDescent="0.25">
      <c r="C376842" s="10" t="s">
        <v>221</v>
      </c>
    </row>
    <row r="376843" spans="3:3" x14ac:dyDescent="0.25">
      <c r="C376843" s="10" t="s">
        <v>222</v>
      </c>
    </row>
    <row r="376844" spans="3:3" x14ac:dyDescent="0.25">
      <c r="C376844" s="10" t="s">
        <v>183</v>
      </c>
    </row>
    <row r="376845" spans="3:3" ht="30" x14ac:dyDescent="0.25">
      <c r="C376845" s="10" t="s">
        <v>223</v>
      </c>
    </row>
    <row r="376846" spans="3:3" x14ac:dyDescent="0.25">
      <c r="C376846" s="10" t="s">
        <v>224</v>
      </c>
    </row>
    <row r="376847" spans="3:3" x14ac:dyDescent="0.25">
      <c r="C376847" s="10" t="s">
        <v>225</v>
      </c>
    </row>
    <row r="376848" spans="3:3" x14ac:dyDescent="0.25">
      <c r="C376848" s="10" t="s">
        <v>226</v>
      </c>
    </row>
    <row r="376849" spans="3:3" x14ac:dyDescent="0.25">
      <c r="C376849" s="10" t="s">
        <v>227</v>
      </c>
    </row>
    <row r="376850" spans="3:3" x14ac:dyDescent="0.25">
      <c r="C376850" s="10" t="s">
        <v>228</v>
      </c>
    </row>
    <row r="376851" spans="3:3" x14ac:dyDescent="0.25">
      <c r="C376851" s="10" t="s">
        <v>229</v>
      </c>
    </row>
    <row r="376852" spans="3:3" x14ac:dyDescent="0.25">
      <c r="C376852" s="12">
        <v>0.05</v>
      </c>
    </row>
    <row r="376853" spans="3:3" x14ac:dyDescent="0.25">
      <c r="C376853" s="10" t="s">
        <v>230</v>
      </c>
    </row>
    <row r="376854" spans="3:3" x14ac:dyDescent="0.25">
      <c r="C376854" s="10" t="s">
        <v>231</v>
      </c>
    </row>
    <row r="376855" spans="3:3" x14ac:dyDescent="0.25">
      <c r="C376855" s="10">
        <v>16</v>
      </c>
    </row>
    <row r="376856" spans="3:3" x14ac:dyDescent="0.25">
      <c r="C376856" s="10">
        <v>12</v>
      </c>
    </row>
    <row r="376857" spans="3:3" x14ac:dyDescent="0.25">
      <c r="C376857" s="10">
        <v>14</v>
      </c>
    </row>
    <row r="376858" spans="3:3" x14ac:dyDescent="0.25">
      <c r="C376858" s="10">
        <v>12</v>
      </c>
    </row>
    <row r="376859" spans="3:3" x14ac:dyDescent="0.25">
      <c r="C376859" s="10">
        <v>8</v>
      </c>
    </row>
    <row r="376860" spans="3:3" x14ac:dyDescent="0.25">
      <c r="C376860" s="10">
        <v>2</v>
      </c>
    </row>
    <row r="376861" spans="3:3" x14ac:dyDescent="0.25">
      <c r="C376861" s="10">
        <v>18</v>
      </c>
    </row>
    <row r="376862" spans="3:3" x14ac:dyDescent="0.25">
      <c r="C376862" s="10">
        <v>17</v>
      </c>
    </row>
    <row r="376863" spans="3:3" x14ac:dyDescent="0.25">
      <c r="C376863" s="10">
        <v>3</v>
      </c>
    </row>
    <row r="376864" spans="3:3" x14ac:dyDescent="0.25">
      <c r="C376864" s="10">
        <v>2</v>
      </c>
    </row>
    <row r="376865" spans="3:3" x14ac:dyDescent="0.25">
      <c r="C376865" s="10">
        <v>9</v>
      </c>
    </row>
    <row r="376866" spans="3:3" x14ac:dyDescent="0.25">
      <c r="C376866" s="10">
        <v>9</v>
      </c>
    </row>
    <row r="376867" spans="3:3" x14ac:dyDescent="0.25">
      <c r="C376867" s="10">
        <v>7</v>
      </c>
    </row>
    <row r="376868" spans="3:3" x14ac:dyDescent="0.25">
      <c r="C376868" s="10">
        <v>7</v>
      </c>
    </row>
    <row r="376869" spans="3:3" x14ac:dyDescent="0.25">
      <c r="C376869" s="10">
        <v>136</v>
      </c>
    </row>
    <row r="393217" spans="3:3" ht="30" x14ac:dyDescent="0.25">
      <c r="C393217" s="10" t="s">
        <v>214</v>
      </c>
    </row>
    <row r="393218" spans="3:3" x14ac:dyDescent="0.25">
      <c r="C393218" s="10" t="s">
        <v>215</v>
      </c>
    </row>
    <row r="393219" spans="3:3" x14ac:dyDescent="0.25">
      <c r="C393219" s="11">
        <v>42166</v>
      </c>
    </row>
    <row r="393220" spans="3:3" x14ac:dyDescent="0.25">
      <c r="C393220" s="10" t="s">
        <v>216</v>
      </c>
    </row>
    <row r="393221" spans="3:3" ht="30" x14ac:dyDescent="0.25">
      <c r="C393221" s="10" t="s">
        <v>217</v>
      </c>
    </row>
    <row r="393222" spans="3:3" x14ac:dyDescent="0.25">
      <c r="C393222" s="10" t="s">
        <v>218</v>
      </c>
    </row>
    <row r="393223" spans="3:3" x14ac:dyDescent="0.25">
      <c r="C393223" s="10" t="s">
        <v>218</v>
      </c>
    </row>
    <row r="393224" spans="3:3" x14ac:dyDescent="0.25">
      <c r="C393224" s="10" t="s">
        <v>219</v>
      </c>
    </row>
    <row r="393225" spans="3:3" x14ac:dyDescent="0.25">
      <c r="C393225" s="10" t="s">
        <v>220</v>
      </c>
    </row>
    <row r="393226" spans="3:3" x14ac:dyDescent="0.25">
      <c r="C393226" s="10" t="s">
        <v>221</v>
      </c>
    </row>
    <row r="393227" spans="3:3" x14ac:dyDescent="0.25">
      <c r="C393227" s="10" t="s">
        <v>222</v>
      </c>
    </row>
    <row r="393228" spans="3:3" x14ac:dyDescent="0.25">
      <c r="C393228" s="10" t="s">
        <v>183</v>
      </c>
    </row>
    <row r="393229" spans="3:3" ht="30" x14ac:dyDescent="0.25">
      <c r="C393229" s="10" t="s">
        <v>223</v>
      </c>
    </row>
    <row r="393230" spans="3:3" x14ac:dyDescent="0.25">
      <c r="C393230" s="10" t="s">
        <v>224</v>
      </c>
    </row>
    <row r="393231" spans="3:3" x14ac:dyDescent="0.25">
      <c r="C393231" s="10" t="s">
        <v>225</v>
      </c>
    </row>
    <row r="393232" spans="3:3" x14ac:dyDescent="0.25">
      <c r="C393232" s="10" t="s">
        <v>226</v>
      </c>
    </row>
    <row r="393233" spans="3:3" x14ac:dyDescent="0.25">
      <c r="C393233" s="10" t="s">
        <v>227</v>
      </c>
    </row>
    <row r="393234" spans="3:3" x14ac:dyDescent="0.25">
      <c r="C393234" s="10" t="s">
        <v>228</v>
      </c>
    </row>
    <row r="393235" spans="3:3" x14ac:dyDescent="0.25">
      <c r="C393235" s="10" t="s">
        <v>229</v>
      </c>
    </row>
    <row r="393236" spans="3:3" x14ac:dyDescent="0.25">
      <c r="C393236" s="12">
        <v>0.05</v>
      </c>
    </row>
    <row r="393237" spans="3:3" x14ac:dyDescent="0.25">
      <c r="C393237" s="10" t="s">
        <v>230</v>
      </c>
    </row>
    <row r="393238" spans="3:3" x14ac:dyDescent="0.25">
      <c r="C393238" s="10" t="s">
        <v>231</v>
      </c>
    </row>
    <row r="393239" spans="3:3" x14ac:dyDescent="0.25">
      <c r="C393239" s="10">
        <v>16</v>
      </c>
    </row>
    <row r="393240" spans="3:3" x14ac:dyDescent="0.25">
      <c r="C393240" s="10">
        <v>12</v>
      </c>
    </row>
    <row r="393241" spans="3:3" x14ac:dyDescent="0.25">
      <c r="C393241" s="10">
        <v>14</v>
      </c>
    </row>
    <row r="393242" spans="3:3" x14ac:dyDescent="0.25">
      <c r="C393242" s="10">
        <v>12</v>
      </c>
    </row>
    <row r="393243" spans="3:3" x14ac:dyDescent="0.25">
      <c r="C393243" s="10">
        <v>8</v>
      </c>
    </row>
    <row r="393244" spans="3:3" x14ac:dyDescent="0.25">
      <c r="C393244" s="10">
        <v>2</v>
      </c>
    </row>
    <row r="393245" spans="3:3" x14ac:dyDescent="0.25">
      <c r="C393245" s="10">
        <v>18</v>
      </c>
    </row>
    <row r="393246" spans="3:3" x14ac:dyDescent="0.25">
      <c r="C393246" s="10">
        <v>17</v>
      </c>
    </row>
    <row r="393247" spans="3:3" x14ac:dyDescent="0.25">
      <c r="C393247" s="10">
        <v>3</v>
      </c>
    </row>
    <row r="393248" spans="3:3" x14ac:dyDescent="0.25">
      <c r="C393248" s="10">
        <v>2</v>
      </c>
    </row>
    <row r="393249" spans="3:3" x14ac:dyDescent="0.25">
      <c r="C393249" s="10">
        <v>9</v>
      </c>
    </row>
    <row r="393250" spans="3:3" x14ac:dyDescent="0.25">
      <c r="C393250" s="10">
        <v>9</v>
      </c>
    </row>
    <row r="393251" spans="3:3" x14ac:dyDescent="0.25">
      <c r="C393251" s="10">
        <v>7</v>
      </c>
    </row>
    <row r="393252" spans="3:3" x14ac:dyDescent="0.25">
      <c r="C393252" s="10">
        <v>7</v>
      </c>
    </row>
    <row r="393253" spans="3:3" x14ac:dyDescent="0.25">
      <c r="C393253" s="10">
        <v>136</v>
      </c>
    </row>
    <row r="409601" spans="3:3" ht="30" x14ac:dyDescent="0.25">
      <c r="C409601" s="10" t="s">
        <v>214</v>
      </c>
    </row>
    <row r="409602" spans="3:3" x14ac:dyDescent="0.25">
      <c r="C409602" s="10" t="s">
        <v>215</v>
      </c>
    </row>
    <row r="409603" spans="3:3" x14ac:dyDescent="0.25">
      <c r="C409603" s="11">
        <v>42166</v>
      </c>
    </row>
    <row r="409604" spans="3:3" x14ac:dyDescent="0.25">
      <c r="C409604" s="10" t="s">
        <v>216</v>
      </c>
    </row>
    <row r="409605" spans="3:3" ht="30" x14ac:dyDescent="0.25">
      <c r="C409605" s="10" t="s">
        <v>217</v>
      </c>
    </row>
    <row r="409606" spans="3:3" x14ac:dyDescent="0.25">
      <c r="C409606" s="10" t="s">
        <v>218</v>
      </c>
    </row>
    <row r="409607" spans="3:3" x14ac:dyDescent="0.25">
      <c r="C409607" s="10" t="s">
        <v>218</v>
      </c>
    </row>
    <row r="409608" spans="3:3" x14ac:dyDescent="0.25">
      <c r="C409608" s="10" t="s">
        <v>219</v>
      </c>
    </row>
    <row r="409609" spans="3:3" x14ac:dyDescent="0.25">
      <c r="C409609" s="10" t="s">
        <v>220</v>
      </c>
    </row>
    <row r="409610" spans="3:3" x14ac:dyDescent="0.25">
      <c r="C409610" s="10" t="s">
        <v>221</v>
      </c>
    </row>
    <row r="409611" spans="3:3" x14ac:dyDescent="0.25">
      <c r="C409611" s="10" t="s">
        <v>222</v>
      </c>
    </row>
    <row r="409612" spans="3:3" x14ac:dyDescent="0.25">
      <c r="C409612" s="10" t="s">
        <v>183</v>
      </c>
    </row>
    <row r="409613" spans="3:3" ht="30" x14ac:dyDescent="0.25">
      <c r="C409613" s="10" t="s">
        <v>223</v>
      </c>
    </row>
    <row r="409614" spans="3:3" x14ac:dyDescent="0.25">
      <c r="C409614" s="10" t="s">
        <v>224</v>
      </c>
    </row>
    <row r="409615" spans="3:3" x14ac:dyDescent="0.25">
      <c r="C409615" s="10" t="s">
        <v>225</v>
      </c>
    </row>
    <row r="409616" spans="3:3" x14ac:dyDescent="0.25">
      <c r="C409616" s="10" t="s">
        <v>226</v>
      </c>
    </row>
    <row r="409617" spans="3:3" x14ac:dyDescent="0.25">
      <c r="C409617" s="10" t="s">
        <v>227</v>
      </c>
    </row>
    <row r="409618" spans="3:3" x14ac:dyDescent="0.25">
      <c r="C409618" s="10" t="s">
        <v>228</v>
      </c>
    </row>
    <row r="409619" spans="3:3" x14ac:dyDescent="0.25">
      <c r="C409619" s="10" t="s">
        <v>229</v>
      </c>
    </row>
    <row r="409620" spans="3:3" x14ac:dyDescent="0.25">
      <c r="C409620" s="12">
        <v>0.05</v>
      </c>
    </row>
    <row r="409621" spans="3:3" x14ac:dyDescent="0.25">
      <c r="C409621" s="10" t="s">
        <v>230</v>
      </c>
    </row>
    <row r="409622" spans="3:3" x14ac:dyDescent="0.25">
      <c r="C409622" s="10" t="s">
        <v>231</v>
      </c>
    </row>
    <row r="409623" spans="3:3" x14ac:dyDescent="0.25">
      <c r="C409623" s="10">
        <v>16</v>
      </c>
    </row>
    <row r="409624" spans="3:3" x14ac:dyDescent="0.25">
      <c r="C409624" s="10">
        <v>12</v>
      </c>
    </row>
    <row r="409625" spans="3:3" x14ac:dyDescent="0.25">
      <c r="C409625" s="10">
        <v>14</v>
      </c>
    </row>
    <row r="409626" spans="3:3" x14ac:dyDescent="0.25">
      <c r="C409626" s="10">
        <v>12</v>
      </c>
    </row>
    <row r="409627" spans="3:3" x14ac:dyDescent="0.25">
      <c r="C409627" s="10">
        <v>8</v>
      </c>
    </row>
    <row r="409628" spans="3:3" x14ac:dyDescent="0.25">
      <c r="C409628" s="10">
        <v>2</v>
      </c>
    </row>
    <row r="409629" spans="3:3" x14ac:dyDescent="0.25">
      <c r="C409629" s="10">
        <v>18</v>
      </c>
    </row>
    <row r="409630" spans="3:3" x14ac:dyDescent="0.25">
      <c r="C409630" s="10">
        <v>17</v>
      </c>
    </row>
    <row r="409631" spans="3:3" x14ac:dyDescent="0.25">
      <c r="C409631" s="10">
        <v>3</v>
      </c>
    </row>
    <row r="409632" spans="3:3" x14ac:dyDescent="0.25">
      <c r="C409632" s="10">
        <v>2</v>
      </c>
    </row>
    <row r="409633" spans="3:3" x14ac:dyDescent="0.25">
      <c r="C409633" s="10">
        <v>9</v>
      </c>
    </row>
    <row r="409634" spans="3:3" x14ac:dyDescent="0.25">
      <c r="C409634" s="10">
        <v>9</v>
      </c>
    </row>
    <row r="409635" spans="3:3" x14ac:dyDescent="0.25">
      <c r="C409635" s="10">
        <v>7</v>
      </c>
    </row>
    <row r="409636" spans="3:3" x14ac:dyDescent="0.25">
      <c r="C409636" s="10">
        <v>7</v>
      </c>
    </row>
    <row r="409637" spans="3:3" x14ac:dyDescent="0.25">
      <c r="C409637" s="10">
        <v>136</v>
      </c>
    </row>
    <row r="425985" spans="3:3" ht="30" x14ac:dyDescent="0.25">
      <c r="C425985" s="10" t="s">
        <v>214</v>
      </c>
    </row>
    <row r="425986" spans="3:3" x14ac:dyDescent="0.25">
      <c r="C425986" s="10" t="s">
        <v>215</v>
      </c>
    </row>
    <row r="425987" spans="3:3" x14ac:dyDescent="0.25">
      <c r="C425987" s="11">
        <v>42166</v>
      </c>
    </row>
    <row r="425988" spans="3:3" x14ac:dyDescent="0.25">
      <c r="C425988" s="10" t="s">
        <v>216</v>
      </c>
    </row>
    <row r="425989" spans="3:3" ht="30" x14ac:dyDescent="0.25">
      <c r="C425989" s="10" t="s">
        <v>217</v>
      </c>
    </row>
    <row r="425990" spans="3:3" x14ac:dyDescent="0.25">
      <c r="C425990" s="10" t="s">
        <v>218</v>
      </c>
    </row>
    <row r="425991" spans="3:3" x14ac:dyDescent="0.25">
      <c r="C425991" s="10" t="s">
        <v>218</v>
      </c>
    </row>
    <row r="425992" spans="3:3" x14ac:dyDescent="0.25">
      <c r="C425992" s="10" t="s">
        <v>219</v>
      </c>
    </row>
    <row r="425993" spans="3:3" x14ac:dyDescent="0.25">
      <c r="C425993" s="10" t="s">
        <v>220</v>
      </c>
    </row>
    <row r="425994" spans="3:3" x14ac:dyDescent="0.25">
      <c r="C425994" s="10" t="s">
        <v>221</v>
      </c>
    </row>
    <row r="425995" spans="3:3" x14ac:dyDescent="0.25">
      <c r="C425995" s="10" t="s">
        <v>222</v>
      </c>
    </row>
    <row r="425996" spans="3:3" x14ac:dyDescent="0.25">
      <c r="C425996" s="10" t="s">
        <v>183</v>
      </c>
    </row>
    <row r="425997" spans="3:3" ht="30" x14ac:dyDescent="0.25">
      <c r="C425997" s="10" t="s">
        <v>223</v>
      </c>
    </row>
    <row r="425998" spans="3:3" x14ac:dyDescent="0.25">
      <c r="C425998" s="10" t="s">
        <v>224</v>
      </c>
    </row>
    <row r="425999" spans="3:3" x14ac:dyDescent="0.25">
      <c r="C425999" s="10" t="s">
        <v>225</v>
      </c>
    </row>
    <row r="426000" spans="3:3" x14ac:dyDescent="0.25">
      <c r="C426000" s="10" t="s">
        <v>226</v>
      </c>
    </row>
    <row r="426001" spans="3:3" x14ac:dyDescent="0.25">
      <c r="C426001" s="10" t="s">
        <v>227</v>
      </c>
    </row>
    <row r="426002" spans="3:3" x14ac:dyDescent="0.25">
      <c r="C426002" s="10" t="s">
        <v>228</v>
      </c>
    </row>
    <row r="426003" spans="3:3" x14ac:dyDescent="0.25">
      <c r="C426003" s="10" t="s">
        <v>229</v>
      </c>
    </row>
    <row r="426004" spans="3:3" x14ac:dyDescent="0.25">
      <c r="C426004" s="12">
        <v>0.05</v>
      </c>
    </row>
    <row r="426005" spans="3:3" x14ac:dyDescent="0.25">
      <c r="C426005" s="10" t="s">
        <v>230</v>
      </c>
    </row>
    <row r="426006" spans="3:3" x14ac:dyDescent="0.25">
      <c r="C426006" s="10" t="s">
        <v>231</v>
      </c>
    </row>
    <row r="426007" spans="3:3" x14ac:dyDescent="0.25">
      <c r="C426007" s="10">
        <v>16</v>
      </c>
    </row>
    <row r="426008" spans="3:3" x14ac:dyDescent="0.25">
      <c r="C426008" s="10">
        <v>12</v>
      </c>
    </row>
    <row r="426009" spans="3:3" x14ac:dyDescent="0.25">
      <c r="C426009" s="10">
        <v>14</v>
      </c>
    </row>
    <row r="426010" spans="3:3" x14ac:dyDescent="0.25">
      <c r="C426010" s="10">
        <v>12</v>
      </c>
    </row>
    <row r="426011" spans="3:3" x14ac:dyDescent="0.25">
      <c r="C426011" s="10">
        <v>8</v>
      </c>
    </row>
    <row r="426012" spans="3:3" x14ac:dyDescent="0.25">
      <c r="C426012" s="10">
        <v>2</v>
      </c>
    </row>
    <row r="426013" spans="3:3" x14ac:dyDescent="0.25">
      <c r="C426013" s="10">
        <v>18</v>
      </c>
    </row>
    <row r="426014" spans="3:3" x14ac:dyDescent="0.25">
      <c r="C426014" s="10">
        <v>17</v>
      </c>
    </row>
    <row r="426015" spans="3:3" x14ac:dyDescent="0.25">
      <c r="C426015" s="10">
        <v>3</v>
      </c>
    </row>
    <row r="426016" spans="3:3" x14ac:dyDescent="0.25">
      <c r="C426016" s="10">
        <v>2</v>
      </c>
    </row>
    <row r="426017" spans="3:3" x14ac:dyDescent="0.25">
      <c r="C426017" s="10">
        <v>9</v>
      </c>
    </row>
    <row r="426018" spans="3:3" x14ac:dyDescent="0.25">
      <c r="C426018" s="10">
        <v>9</v>
      </c>
    </row>
    <row r="426019" spans="3:3" x14ac:dyDescent="0.25">
      <c r="C426019" s="10">
        <v>7</v>
      </c>
    </row>
    <row r="426020" spans="3:3" x14ac:dyDescent="0.25">
      <c r="C426020" s="10">
        <v>7</v>
      </c>
    </row>
    <row r="426021" spans="3:3" x14ac:dyDescent="0.25">
      <c r="C426021" s="10">
        <v>136</v>
      </c>
    </row>
    <row r="442369" spans="3:3" ht="30" x14ac:dyDescent="0.25">
      <c r="C442369" s="10" t="s">
        <v>214</v>
      </c>
    </row>
    <row r="442370" spans="3:3" x14ac:dyDescent="0.25">
      <c r="C442370" s="10" t="s">
        <v>215</v>
      </c>
    </row>
    <row r="442371" spans="3:3" x14ac:dyDescent="0.25">
      <c r="C442371" s="11">
        <v>42166</v>
      </c>
    </row>
    <row r="442372" spans="3:3" x14ac:dyDescent="0.25">
      <c r="C442372" s="10" t="s">
        <v>216</v>
      </c>
    </row>
    <row r="442373" spans="3:3" ht="30" x14ac:dyDescent="0.25">
      <c r="C442373" s="10" t="s">
        <v>217</v>
      </c>
    </row>
    <row r="442374" spans="3:3" x14ac:dyDescent="0.25">
      <c r="C442374" s="10" t="s">
        <v>218</v>
      </c>
    </row>
    <row r="442375" spans="3:3" x14ac:dyDescent="0.25">
      <c r="C442375" s="10" t="s">
        <v>218</v>
      </c>
    </row>
    <row r="442376" spans="3:3" x14ac:dyDescent="0.25">
      <c r="C442376" s="10" t="s">
        <v>219</v>
      </c>
    </row>
    <row r="442377" spans="3:3" x14ac:dyDescent="0.25">
      <c r="C442377" s="10" t="s">
        <v>220</v>
      </c>
    </row>
    <row r="442378" spans="3:3" x14ac:dyDescent="0.25">
      <c r="C442378" s="10" t="s">
        <v>221</v>
      </c>
    </row>
    <row r="442379" spans="3:3" x14ac:dyDescent="0.25">
      <c r="C442379" s="10" t="s">
        <v>222</v>
      </c>
    </row>
    <row r="442380" spans="3:3" x14ac:dyDescent="0.25">
      <c r="C442380" s="10" t="s">
        <v>183</v>
      </c>
    </row>
    <row r="442381" spans="3:3" ht="30" x14ac:dyDescent="0.25">
      <c r="C442381" s="10" t="s">
        <v>223</v>
      </c>
    </row>
    <row r="442382" spans="3:3" x14ac:dyDescent="0.25">
      <c r="C442382" s="10" t="s">
        <v>224</v>
      </c>
    </row>
    <row r="442383" spans="3:3" x14ac:dyDescent="0.25">
      <c r="C442383" s="10" t="s">
        <v>225</v>
      </c>
    </row>
    <row r="442384" spans="3:3" x14ac:dyDescent="0.25">
      <c r="C442384" s="10" t="s">
        <v>226</v>
      </c>
    </row>
    <row r="442385" spans="3:3" x14ac:dyDescent="0.25">
      <c r="C442385" s="10" t="s">
        <v>227</v>
      </c>
    </row>
    <row r="442386" spans="3:3" x14ac:dyDescent="0.25">
      <c r="C442386" s="10" t="s">
        <v>228</v>
      </c>
    </row>
    <row r="442387" spans="3:3" x14ac:dyDescent="0.25">
      <c r="C442387" s="10" t="s">
        <v>229</v>
      </c>
    </row>
    <row r="442388" spans="3:3" x14ac:dyDescent="0.25">
      <c r="C442388" s="12">
        <v>0.05</v>
      </c>
    </row>
    <row r="442389" spans="3:3" x14ac:dyDescent="0.25">
      <c r="C442389" s="10" t="s">
        <v>230</v>
      </c>
    </row>
    <row r="442390" spans="3:3" x14ac:dyDescent="0.25">
      <c r="C442390" s="10" t="s">
        <v>231</v>
      </c>
    </row>
    <row r="442391" spans="3:3" x14ac:dyDescent="0.25">
      <c r="C442391" s="10">
        <v>16</v>
      </c>
    </row>
    <row r="442392" spans="3:3" x14ac:dyDescent="0.25">
      <c r="C442392" s="10">
        <v>12</v>
      </c>
    </row>
    <row r="442393" spans="3:3" x14ac:dyDescent="0.25">
      <c r="C442393" s="10">
        <v>14</v>
      </c>
    </row>
    <row r="442394" spans="3:3" x14ac:dyDescent="0.25">
      <c r="C442394" s="10">
        <v>12</v>
      </c>
    </row>
    <row r="442395" spans="3:3" x14ac:dyDescent="0.25">
      <c r="C442395" s="10">
        <v>8</v>
      </c>
    </row>
    <row r="442396" spans="3:3" x14ac:dyDescent="0.25">
      <c r="C442396" s="10">
        <v>2</v>
      </c>
    </row>
    <row r="442397" spans="3:3" x14ac:dyDescent="0.25">
      <c r="C442397" s="10">
        <v>18</v>
      </c>
    </row>
    <row r="442398" spans="3:3" x14ac:dyDescent="0.25">
      <c r="C442398" s="10">
        <v>17</v>
      </c>
    </row>
    <row r="442399" spans="3:3" x14ac:dyDescent="0.25">
      <c r="C442399" s="10">
        <v>3</v>
      </c>
    </row>
    <row r="442400" spans="3:3" x14ac:dyDescent="0.25">
      <c r="C442400" s="10">
        <v>2</v>
      </c>
    </row>
    <row r="442401" spans="3:3" x14ac:dyDescent="0.25">
      <c r="C442401" s="10">
        <v>9</v>
      </c>
    </row>
    <row r="442402" spans="3:3" x14ac:dyDescent="0.25">
      <c r="C442402" s="10">
        <v>9</v>
      </c>
    </row>
    <row r="442403" spans="3:3" x14ac:dyDescent="0.25">
      <c r="C442403" s="10">
        <v>7</v>
      </c>
    </row>
    <row r="442404" spans="3:3" x14ac:dyDescent="0.25">
      <c r="C442404" s="10">
        <v>7</v>
      </c>
    </row>
    <row r="442405" spans="3:3" x14ac:dyDescent="0.25">
      <c r="C442405" s="10">
        <v>136</v>
      </c>
    </row>
    <row r="458753" spans="3:3" ht="30" x14ac:dyDescent="0.25">
      <c r="C458753" s="10" t="s">
        <v>214</v>
      </c>
    </row>
    <row r="458754" spans="3:3" x14ac:dyDescent="0.25">
      <c r="C458754" s="10" t="s">
        <v>215</v>
      </c>
    </row>
    <row r="458755" spans="3:3" x14ac:dyDescent="0.25">
      <c r="C458755" s="11">
        <v>42166</v>
      </c>
    </row>
    <row r="458756" spans="3:3" x14ac:dyDescent="0.25">
      <c r="C458756" s="10" t="s">
        <v>216</v>
      </c>
    </row>
    <row r="458757" spans="3:3" ht="30" x14ac:dyDescent="0.25">
      <c r="C458757" s="10" t="s">
        <v>217</v>
      </c>
    </row>
    <row r="458758" spans="3:3" x14ac:dyDescent="0.25">
      <c r="C458758" s="10" t="s">
        <v>218</v>
      </c>
    </row>
    <row r="458759" spans="3:3" x14ac:dyDescent="0.25">
      <c r="C458759" s="10" t="s">
        <v>218</v>
      </c>
    </row>
    <row r="458760" spans="3:3" x14ac:dyDescent="0.25">
      <c r="C458760" s="10" t="s">
        <v>219</v>
      </c>
    </row>
    <row r="458761" spans="3:3" x14ac:dyDescent="0.25">
      <c r="C458761" s="10" t="s">
        <v>220</v>
      </c>
    </row>
    <row r="458762" spans="3:3" x14ac:dyDescent="0.25">
      <c r="C458762" s="10" t="s">
        <v>221</v>
      </c>
    </row>
    <row r="458763" spans="3:3" x14ac:dyDescent="0.25">
      <c r="C458763" s="10" t="s">
        <v>222</v>
      </c>
    </row>
    <row r="458764" spans="3:3" x14ac:dyDescent="0.25">
      <c r="C458764" s="10" t="s">
        <v>183</v>
      </c>
    </row>
    <row r="458765" spans="3:3" ht="30" x14ac:dyDescent="0.25">
      <c r="C458765" s="10" t="s">
        <v>223</v>
      </c>
    </row>
    <row r="458766" spans="3:3" x14ac:dyDescent="0.25">
      <c r="C458766" s="10" t="s">
        <v>224</v>
      </c>
    </row>
    <row r="458767" spans="3:3" x14ac:dyDescent="0.25">
      <c r="C458767" s="10" t="s">
        <v>225</v>
      </c>
    </row>
    <row r="458768" spans="3:3" x14ac:dyDescent="0.25">
      <c r="C458768" s="10" t="s">
        <v>226</v>
      </c>
    </row>
    <row r="458769" spans="3:3" x14ac:dyDescent="0.25">
      <c r="C458769" s="10" t="s">
        <v>227</v>
      </c>
    </row>
    <row r="458770" spans="3:3" x14ac:dyDescent="0.25">
      <c r="C458770" s="10" t="s">
        <v>228</v>
      </c>
    </row>
    <row r="458771" spans="3:3" x14ac:dyDescent="0.25">
      <c r="C458771" s="10" t="s">
        <v>229</v>
      </c>
    </row>
    <row r="458772" spans="3:3" x14ac:dyDescent="0.25">
      <c r="C458772" s="12">
        <v>0.05</v>
      </c>
    </row>
    <row r="458773" spans="3:3" x14ac:dyDescent="0.25">
      <c r="C458773" s="10" t="s">
        <v>230</v>
      </c>
    </row>
    <row r="458774" spans="3:3" x14ac:dyDescent="0.25">
      <c r="C458774" s="10" t="s">
        <v>231</v>
      </c>
    </row>
    <row r="458775" spans="3:3" x14ac:dyDescent="0.25">
      <c r="C458775" s="10">
        <v>16</v>
      </c>
    </row>
    <row r="458776" spans="3:3" x14ac:dyDescent="0.25">
      <c r="C458776" s="10">
        <v>12</v>
      </c>
    </row>
    <row r="458777" spans="3:3" x14ac:dyDescent="0.25">
      <c r="C458777" s="10">
        <v>14</v>
      </c>
    </row>
    <row r="458778" spans="3:3" x14ac:dyDescent="0.25">
      <c r="C458778" s="10">
        <v>12</v>
      </c>
    </row>
    <row r="458779" spans="3:3" x14ac:dyDescent="0.25">
      <c r="C458779" s="10">
        <v>8</v>
      </c>
    </row>
    <row r="458780" spans="3:3" x14ac:dyDescent="0.25">
      <c r="C458780" s="10">
        <v>2</v>
      </c>
    </row>
    <row r="458781" spans="3:3" x14ac:dyDescent="0.25">
      <c r="C458781" s="10">
        <v>18</v>
      </c>
    </row>
    <row r="458782" spans="3:3" x14ac:dyDescent="0.25">
      <c r="C458782" s="10">
        <v>17</v>
      </c>
    </row>
    <row r="458783" spans="3:3" x14ac:dyDescent="0.25">
      <c r="C458783" s="10">
        <v>3</v>
      </c>
    </row>
    <row r="458784" spans="3:3" x14ac:dyDescent="0.25">
      <c r="C458784" s="10">
        <v>2</v>
      </c>
    </row>
    <row r="458785" spans="3:3" x14ac:dyDescent="0.25">
      <c r="C458785" s="10">
        <v>9</v>
      </c>
    </row>
    <row r="458786" spans="3:3" x14ac:dyDescent="0.25">
      <c r="C458786" s="10">
        <v>9</v>
      </c>
    </row>
    <row r="458787" spans="3:3" x14ac:dyDescent="0.25">
      <c r="C458787" s="10">
        <v>7</v>
      </c>
    </row>
    <row r="458788" spans="3:3" x14ac:dyDescent="0.25">
      <c r="C458788" s="10">
        <v>7</v>
      </c>
    </row>
    <row r="458789" spans="3:3" x14ac:dyDescent="0.25">
      <c r="C458789" s="10">
        <v>136</v>
      </c>
    </row>
    <row r="475137" spans="3:3" ht="30" x14ac:dyDescent="0.25">
      <c r="C475137" s="10" t="s">
        <v>214</v>
      </c>
    </row>
    <row r="475138" spans="3:3" x14ac:dyDescent="0.25">
      <c r="C475138" s="10" t="s">
        <v>215</v>
      </c>
    </row>
    <row r="475139" spans="3:3" x14ac:dyDescent="0.25">
      <c r="C475139" s="11">
        <v>42166</v>
      </c>
    </row>
    <row r="475140" spans="3:3" x14ac:dyDescent="0.25">
      <c r="C475140" s="10" t="s">
        <v>216</v>
      </c>
    </row>
    <row r="475141" spans="3:3" ht="30" x14ac:dyDescent="0.25">
      <c r="C475141" s="10" t="s">
        <v>217</v>
      </c>
    </row>
    <row r="475142" spans="3:3" x14ac:dyDescent="0.25">
      <c r="C475142" s="10" t="s">
        <v>218</v>
      </c>
    </row>
    <row r="475143" spans="3:3" x14ac:dyDescent="0.25">
      <c r="C475143" s="10" t="s">
        <v>218</v>
      </c>
    </row>
    <row r="475144" spans="3:3" x14ac:dyDescent="0.25">
      <c r="C475144" s="10" t="s">
        <v>219</v>
      </c>
    </row>
    <row r="475145" spans="3:3" x14ac:dyDescent="0.25">
      <c r="C475145" s="10" t="s">
        <v>220</v>
      </c>
    </row>
    <row r="475146" spans="3:3" x14ac:dyDescent="0.25">
      <c r="C475146" s="10" t="s">
        <v>221</v>
      </c>
    </row>
    <row r="475147" spans="3:3" x14ac:dyDescent="0.25">
      <c r="C475147" s="10" t="s">
        <v>222</v>
      </c>
    </row>
    <row r="475148" spans="3:3" x14ac:dyDescent="0.25">
      <c r="C475148" s="10" t="s">
        <v>183</v>
      </c>
    </row>
    <row r="475149" spans="3:3" ht="30" x14ac:dyDescent="0.25">
      <c r="C475149" s="10" t="s">
        <v>223</v>
      </c>
    </row>
    <row r="475150" spans="3:3" x14ac:dyDescent="0.25">
      <c r="C475150" s="10" t="s">
        <v>224</v>
      </c>
    </row>
    <row r="475151" spans="3:3" x14ac:dyDescent="0.25">
      <c r="C475151" s="10" t="s">
        <v>225</v>
      </c>
    </row>
    <row r="475152" spans="3:3" x14ac:dyDescent="0.25">
      <c r="C475152" s="10" t="s">
        <v>226</v>
      </c>
    </row>
    <row r="475153" spans="3:3" x14ac:dyDescent="0.25">
      <c r="C475153" s="10" t="s">
        <v>227</v>
      </c>
    </row>
    <row r="475154" spans="3:3" x14ac:dyDescent="0.25">
      <c r="C475154" s="10" t="s">
        <v>228</v>
      </c>
    </row>
    <row r="475155" spans="3:3" x14ac:dyDescent="0.25">
      <c r="C475155" s="10" t="s">
        <v>229</v>
      </c>
    </row>
    <row r="475156" spans="3:3" x14ac:dyDescent="0.25">
      <c r="C475156" s="12">
        <v>0.05</v>
      </c>
    </row>
    <row r="475157" spans="3:3" x14ac:dyDescent="0.25">
      <c r="C475157" s="10" t="s">
        <v>230</v>
      </c>
    </row>
    <row r="475158" spans="3:3" x14ac:dyDescent="0.25">
      <c r="C475158" s="10" t="s">
        <v>231</v>
      </c>
    </row>
    <row r="475159" spans="3:3" x14ac:dyDescent="0.25">
      <c r="C475159" s="10">
        <v>16</v>
      </c>
    </row>
    <row r="475160" spans="3:3" x14ac:dyDescent="0.25">
      <c r="C475160" s="10">
        <v>12</v>
      </c>
    </row>
    <row r="475161" spans="3:3" x14ac:dyDescent="0.25">
      <c r="C475161" s="10">
        <v>14</v>
      </c>
    </row>
    <row r="475162" spans="3:3" x14ac:dyDescent="0.25">
      <c r="C475162" s="10">
        <v>12</v>
      </c>
    </row>
    <row r="475163" spans="3:3" x14ac:dyDescent="0.25">
      <c r="C475163" s="10">
        <v>8</v>
      </c>
    </row>
    <row r="475164" spans="3:3" x14ac:dyDescent="0.25">
      <c r="C475164" s="10">
        <v>2</v>
      </c>
    </row>
    <row r="475165" spans="3:3" x14ac:dyDescent="0.25">
      <c r="C475165" s="10">
        <v>18</v>
      </c>
    </row>
    <row r="475166" spans="3:3" x14ac:dyDescent="0.25">
      <c r="C475166" s="10">
        <v>17</v>
      </c>
    </row>
    <row r="475167" spans="3:3" x14ac:dyDescent="0.25">
      <c r="C475167" s="10">
        <v>3</v>
      </c>
    </row>
    <row r="475168" spans="3:3" x14ac:dyDescent="0.25">
      <c r="C475168" s="10">
        <v>2</v>
      </c>
    </row>
    <row r="475169" spans="3:3" x14ac:dyDescent="0.25">
      <c r="C475169" s="10">
        <v>9</v>
      </c>
    </row>
    <row r="475170" spans="3:3" x14ac:dyDescent="0.25">
      <c r="C475170" s="10">
        <v>9</v>
      </c>
    </row>
    <row r="475171" spans="3:3" x14ac:dyDescent="0.25">
      <c r="C475171" s="10">
        <v>7</v>
      </c>
    </row>
    <row r="475172" spans="3:3" x14ac:dyDescent="0.25">
      <c r="C475172" s="10">
        <v>7</v>
      </c>
    </row>
    <row r="475173" spans="3:3" x14ac:dyDescent="0.25">
      <c r="C475173" s="10">
        <v>136</v>
      </c>
    </row>
    <row r="491521" spans="3:3" ht="30" x14ac:dyDescent="0.25">
      <c r="C491521" s="10" t="s">
        <v>214</v>
      </c>
    </row>
    <row r="491522" spans="3:3" x14ac:dyDescent="0.25">
      <c r="C491522" s="10" t="s">
        <v>215</v>
      </c>
    </row>
    <row r="491523" spans="3:3" x14ac:dyDescent="0.25">
      <c r="C491523" s="11">
        <v>42166</v>
      </c>
    </row>
    <row r="491524" spans="3:3" x14ac:dyDescent="0.25">
      <c r="C491524" s="10" t="s">
        <v>216</v>
      </c>
    </row>
    <row r="491525" spans="3:3" ht="30" x14ac:dyDescent="0.25">
      <c r="C491525" s="10" t="s">
        <v>217</v>
      </c>
    </row>
    <row r="491526" spans="3:3" x14ac:dyDescent="0.25">
      <c r="C491526" s="10" t="s">
        <v>218</v>
      </c>
    </row>
    <row r="491527" spans="3:3" x14ac:dyDescent="0.25">
      <c r="C491527" s="10" t="s">
        <v>218</v>
      </c>
    </row>
    <row r="491528" spans="3:3" x14ac:dyDescent="0.25">
      <c r="C491528" s="10" t="s">
        <v>219</v>
      </c>
    </row>
    <row r="491529" spans="3:3" x14ac:dyDescent="0.25">
      <c r="C491529" s="10" t="s">
        <v>220</v>
      </c>
    </row>
    <row r="491530" spans="3:3" x14ac:dyDescent="0.25">
      <c r="C491530" s="10" t="s">
        <v>221</v>
      </c>
    </row>
    <row r="491531" spans="3:3" x14ac:dyDescent="0.25">
      <c r="C491531" s="10" t="s">
        <v>222</v>
      </c>
    </row>
    <row r="491532" spans="3:3" x14ac:dyDescent="0.25">
      <c r="C491532" s="10" t="s">
        <v>183</v>
      </c>
    </row>
    <row r="491533" spans="3:3" ht="30" x14ac:dyDescent="0.25">
      <c r="C491533" s="10" t="s">
        <v>223</v>
      </c>
    </row>
    <row r="491534" spans="3:3" x14ac:dyDescent="0.25">
      <c r="C491534" s="10" t="s">
        <v>224</v>
      </c>
    </row>
    <row r="491535" spans="3:3" x14ac:dyDescent="0.25">
      <c r="C491535" s="10" t="s">
        <v>225</v>
      </c>
    </row>
    <row r="491536" spans="3:3" x14ac:dyDescent="0.25">
      <c r="C491536" s="10" t="s">
        <v>226</v>
      </c>
    </row>
    <row r="491537" spans="3:3" x14ac:dyDescent="0.25">
      <c r="C491537" s="10" t="s">
        <v>227</v>
      </c>
    </row>
    <row r="491538" spans="3:3" x14ac:dyDescent="0.25">
      <c r="C491538" s="10" t="s">
        <v>228</v>
      </c>
    </row>
    <row r="491539" spans="3:3" x14ac:dyDescent="0.25">
      <c r="C491539" s="10" t="s">
        <v>229</v>
      </c>
    </row>
    <row r="491540" spans="3:3" x14ac:dyDescent="0.25">
      <c r="C491540" s="12">
        <v>0.05</v>
      </c>
    </row>
    <row r="491541" spans="3:3" x14ac:dyDescent="0.25">
      <c r="C491541" s="10" t="s">
        <v>230</v>
      </c>
    </row>
    <row r="491542" spans="3:3" x14ac:dyDescent="0.25">
      <c r="C491542" s="10" t="s">
        <v>231</v>
      </c>
    </row>
    <row r="491543" spans="3:3" x14ac:dyDescent="0.25">
      <c r="C491543" s="10">
        <v>16</v>
      </c>
    </row>
    <row r="491544" spans="3:3" x14ac:dyDescent="0.25">
      <c r="C491544" s="10">
        <v>12</v>
      </c>
    </row>
    <row r="491545" spans="3:3" x14ac:dyDescent="0.25">
      <c r="C491545" s="10">
        <v>14</v>
      </c>
    </row>
    <row r="491546" spans="3:3" x14ac:dyDescent="0.25">
      <c r="C491546" s="10">
        <v>12</v>
      </c>
    </row>
    <row r="491547" spans="3:3" x14ac:dyDescent="0.25">
      <c r="C491547" s="10">
        <v>8</v>
      </c>
    </row>
    <row r="491548" spans="3:3" x14ac:dyDescent="0.25">
      <c r="C491548" s="10">
        <v>2</v>
      </c>
    </row>
    <row r="491549" spans="3:3" x14ac:dyDescent="0.25">
      <c r="C491549" s="10">
        <v>18</v>
      </c>
    </row>
    <row r="491550" spans="3:3" x14ac:dyDescent="0.25">
      <c r="C491550" s="10">
        <v>17</v>
      </c>
    </row>
    <row r="491551" spans="3:3" x14ac:dyDescent="0.25">
      <c r="C491551" s="10">
        <v>3</v>
      </c>
    </row>
    <row r="491552" spans="3:3" x14ac:dyDescent="0.25">
      <c r="C491552" s="10">
        <v>2</v>
      </c>
    </row>
    <row r="491553" spans="3:3" x14ac:dyDescent="0.25">
      <c r="C491553" s="10">
        <v>9</v>
      </c>
    </row>
    <row r="491554" spans="3:3" x14ac:dyDescent="0.25">
      <c r="C491554" s="10">
        <v>9</v>
      </c>
    </row>
    <row r="491555" spans="3:3" x14ac:dyDescent="0.25">
      <c r="C491555" s="10">
        <v>7</v>
      </c>
    </row>
    <row r="491556" spans="3:3" x14ac:dyDescent="0.25">
      <c r="C491556" s="10">
        <v>7</v>
      </c>
    </row>
    <row r="491557" spans="3:3" x14ac:dyDescent="0.25">
      <c r="C491557" s="10">
        <v>136</v>
      </c>
    </row>
    <row r="507905" spans="3:3" ht="30" x14ac:dyDescent="0.25">
      <c r="C507905" s="10" t="s">
        <v>214</v>
      </c>
    </row>
    <row r="507906" spans="3:3" x14ac:dyDescent="0.25">
      <c r="C507906" s="10" t="s">
        <v>215</v>
      </c>
    </row>
    <row r="507907" spans="3:3" x14ac:dyDescent="0.25">
      <c r="C507907" s="11">
        <v>42166</v>
      </c>
    </row>
    <row r="507908" spans="3:3" x14ac:dyDescent="0.25">
      <c r="C507908" s="10" t="s">
        <v>216</v>
      </c>
    </row>
    <row r="507909" spans="3:3" ht="30" x14ac:dyDescent="0.25">
      <c r="C507909" s="10" t="s">
        <v>217</v>
      </c>
    </row>
    <row r="507910" spans="3:3" x14ac:dyDescent="0.25">
      <c r="C507910" s="10" t="s">
        <v>218</v>
      </c>
    </row>
    <row r="507911" spans="3:3" x14ac:dyDescent="0.25">
      <c r="C507911" s="10" t="s">
        <v>218</v>
      </c>
    </row>
    <row r="507912" spans="3:3" x14ac:dyDescent="0.25">
      <c r="C507912" s="10" t="s">
        <v>219</v>
      </c>
    </row>
    <row r="507913" spans="3:3" x14ac:dyDescent="0.25">
      <c r="C507913" s="10" t="s">
        <v>220</v>
      </c>
    </row>
    <row r="507914" spans="3:3" x14ac:dyDescent="0.25">
      <c r="C507914" s="10" t="s">
        <v>221</v>
      </c>
    </row>
    <row r="507915" spans="3:3" x14ac:dyDescent="0.25">
      <c r="C507915" s="10" t="s">
        <v>222</v>
      </c>
    </row>
    <row r="507916" spans="3:3" x14ac:dyDescent="0.25">
      <c r="C507916" s="10" t="s">
        <v>183</v>
      </c>
    </row>
    <row r="507917" spans="3:3" ht="30" x14ac:dyDescent="0.25">
      <c r="C507917" s="10" t="s">
        <v>223</v>
      </c>
    </row>
    <row r="507918" spans="3:3" x14ac:dyDescent="0.25">
      <c r="C507918" s="10" t="s">
        <v>224</v>
      </c>
    </row>
    <row r="507919" spans="3:3" x14ac:dyDescent="0.25">
      <c r="C507919" s="10" t="s">
        <v>225</v>
      </c>
    </row>
    <row r="507920" spans="3:3" x14ac:dyDescent="0.25">
      <c r="C507920" s="10" t="s">
        <v>226</v>
      </c>
    </row>
    <row r="507921" spans="3:3" x14ac:dyDescent="0.25">
      <c r="C507921" s="10" t="s">
        <v>227</v>
      </c>
    </row>
    <row r="507922" spans="3:3" x14ac:dyDescent="0.25">
      <c r="C507922" s="10" t="s">
        <v>228</v>
      </c>
    </row>
    <row r="507923" spans="3:3" x14ac:dyDescent="0.25">
      <c r="C507923" s="10" t="s">
        <v>229</v>
      </c>
    </row>
    <row r="507924" spans="3:3" x14ac:dyDescent="0.25">
      <c r="C507924" s="12">
        <v>0.05</v>
      </c>
    </row>
    <row r="507925" spans="3:3" x14ac:dyDescent="0.25">
      <c r="C507925" s="10" t="s">
        <v>230</v>
      </c>
    </row>
    <row r="507926" spans="3:3" x14ac:dyDescent="0.25">
      <c r="C507926" s="10" t="s">
        <v>231</v>
      </c>
    </row>
    <row r="507927" spans="3:3" x14ac:dyDescent="0.25">
      <c r="C507927" s="10">
        <v>16</v>
      </c>
    </row>
    <row r="507928" spans="3:3" x14ac:dyDescent="0.25">
      <c r="C507928" s="10">
        <v>12</v>
      </c>
    </row>
    <row r="507929" spans="3:3" x14ac:dyDescent="0.25">
      <c r="C507929" s="10">
        <v>14</v>
      </c>
    </row>
    <row r="507930" spans="3:3" x14ac:dyDescent="0.25">
      <c r="C507930" s="10">
        <v>12</v>
      </c>
    </row>
    <row r="507931" spans="3:3" x14ac:dyDescent="0.25">
      <c r="C507931" s="10">
        <v>8</v>
      </c>
    </row>
    <row r="507932" spans="3:3" x14ac:dyDescent="0.25">
      <c r="C507932" s="10">
        <v>2</v>
      </c>
    </row>
    <row r="507933" spans="3:3" x14ac:dyDescent="0.25">
      <c r="C507933" s="10">
        <v>18</v>
      </c>
    </row>
    <row r="507934" spans="3:3" x14ac:dyDescent="0.25">
      <c r="C507934" s="10">
        <v>17</v>
      </c>
    </row>
    <row r="507935" spans="3:3" x14ac:dyDescent="0.25">
      <c r="C507935" s="10">
        <v>3</v>
      </c>
    </row>
    <row r="507936" spans="3:3" x14ac:dyDescent="0.25">
      <c r="C507936" s="10">
        <v>2</v>
      </c>
    </row>
    <row r="507937" spans="3:3" x14ac:dyDescent="0.25">
      <c r="C507937" s="10">
        <v>9</v>
      </c>
    </row>
    <row r="507938" spans="3:3" x14ac:dyDescent="0.25">
      <c r="C507938" s="10">
        <v>9</v>
      </c>
    </row>
    <row r="507939" spans="3:3" x14ac:dyDescent="0.25">
      <c r="C507939" s="10">
        <v>7</v>
      </c>
    </row>
    <row r="507940" spans="3:3" x14ac:dyDescent="0.25">
      <c r="C507940" s="10">
        <v>7</v>
      </c>
    </row>
    <row r="507941" spans="3:3" x14ac:dyDescent="0.25">
      <c r="C507941" s="10">
        <v>136</v>
      </c>
    </row>
    <row r="524289" spans="3:3" ht="30" x14ac:dyDescent="0.25">
      <c r="C524289" s="10" t="s">
        <v>214</v>
      </c>
    </row>
    <row r="524290" spans="3:3" x14ac:dyDescent="0.25">
      <c r="C524290" s="10" t="s">
        <v>215</v>
      </c>
    </row>
    <row r="524291" spans="3:3" x14ac:dyDescent="0.25">
      <c r="C524291" s="11">
        <v>42166</v>
      </c>
    </row>
    <row r="524292" spans="3:3" x14ac:dyDescent="0.25">
      <c r="C524292" s="10" t="s">
        <v>216</v>
      </c>
    </row>
    <row r="524293" spans="3:3" ht="30" x14ac:dyDescent="0.25">
      <c r="C524293" s="10" t="s">
        <v>217</v>
      </c>
    </row>
    <row r="524294" spans="3:3" x14ac:dyDescent="0.25">
      <c r="C524294" s="10" t="s">
        <v>218</v>
      </c>
    </row>
    <row r="524295" spans="3:3" x14ac:dyDescent="0.25">
      <c r="C524295" s="10" t="s">
        <v>218</v>
      </c>
    </row>
    <row r="524296" spans="3:3" x14ac:dyDescent="0.25">
      <c r="C524296" s="10" t="s">
        <v>219</v>
      </c>
    </row>
    <row r="524297" spans="3:3" x14ac:dyDescent="0.25">
      <c r="C524297" s="10" t="s">
        <v>220</v>
      </c>
    </row>
    <row r="524298" spans="3:3" x14ac:dyDescent="0.25">
      <c r="C524298" s="10" t="s">
        <v>221</v>
      </c>
    </row>
    <row r="524299" spans="3:3" x14ac:dyDescent="0.25">
      <c r="C524299" s="10" t="s">
        <v>222</v>
      </c>
    </row>
    <row r="524300" spans="3:3" x14ac:dyDescent="0.25">
      <c r="C524300" s="10" t="s">
        <v>183</v>
      </c>
    </row>
    <row r="524301" spans="3:3" ht="30" x14ac:dyDescent="0.25">
      <c r="C524301" s="10" t="s">
        <v>223</v>
      </c>
    </row>
    <row r="524302" spans="3:3" x14ac:dyDescent="0.25">
      <c r="C524302" s="10" t="s">
        <v>224</v>
      </c>
    </row>
    <row r="524303" spans="3:3" x14ac:dyDescent="0.25">
      <c r="C524303" s="10" t="s">
        <v>225</v>
      </c>
    </row>
    <row r="524304" spans="3:3" x14ac:dyDescent="0.25">
      <c r="C524304" s="10" t="s">
        <v>226</v>
      </c>
    </row>
    <row r="524305" spans="3:3" x14ac:dyDescent="0.25">
      <c r="C524305" s="10" t="s">
        <v>227</v>
      </c>
    </row>
    <row r="524306" spans="3:3" x14ac:dyDescent="0.25">
      <c r="C524306" s="10" t="s">
        <v>228</v>
      </c>
    </row>
    <row r="524307" spans="3:3" x14ac:dyDescent="0.25">
      <c r="C524307" s="10" t="s">
        <v>229</v>
      </c>
    </row>
    <row r="524308" spans="3:3" x14ac:dyDescent="0.25">
      <c r="C524308" s="12">
        <v>0.05</v>
      </c>
    </row>
    <row r="524309" spans="3:3" x14ac:dyDescent="0.25">
      <c r="C524309" s="10" t="s">
        <v>230</v>
      </c>
    </row>
    <row r="524310" spans="3:3" x14ac:dyDescent="0.25">
      <c r="C524310" s="10" t="s">
        <v>231</v>
      </c>
    </row>
    <row r="524311" spans="3:3" x14ac:dyDescent="0.25">
      <c r="C524311" s="10">
        <v>16</v>
      </c>
    </row>
    <row r="524312" spans="3:3" x14ac:dyDescent="0.25">
      <c r="C524312" s="10">
        <v>12</v>
      </c>
    </row>
    <row r="524313" spans="3:3" x14ac:dyDescent="0.25">
      <c r="C524313" s="10">
        <v>14</v>
      </c>
    </row>
    <row r="524314" spans="3:3" x14ac:dyDescent="0.25">
      <c r="C524314" s="10">
        <v>12</v>
      </c>
    </row>
    <row r="524315" spans="3:3" x14ac:dyDescent="0.25">
      <c r="C524315" s="10">
        <v>8</v>
      </c>
    </row>
    <row r="524316" spans="3:3" x14ac:dyDescent="0.25">
      <c r="C524316" s="10">
        <v>2</v>
      </c>
    </row>
    <row r="524317" spans="3:3" x14ac:dyDescent="0.25">
      <c r="C524317" s="10">
        <v>18</v>
      </c>
    </row>
    <row r="524318" spans="3:3" x14ac:dyDescent="0.25">
      <c r="C524318" s="10">
        <v>17</v>
      </c>
    </row>
    <row r="524319" spans="3:3" x14ac:dyDescent="0.25">
      <c r="C524319" s="10">
        <v>3</v>
      </c>
    </row>
    <row r="524320" spans="3:3" x14ac:dyDescent="0.25">
      <c r="C524320" s="10">
        <v>2</v>
      </c>
    </row>
    <row r="524321" spans="3:3" x14ac:dyDescent="0.25">
      <c r="C524321" s="10">
        <v>9</v>
      </c>
    </row>
    <row r="524322" spans="3:3" x14ac:dyDescent="0.25">
      <c r="C524322" s="10">
        <v>9</v>
      </c>
    </row>
    <row r="524323" spans="3:3" x14ac:dyDescent="0.25">
      <c r="C524323" s="10">
        <v>7</v>
      </c>
    </row>
    <row r="524324" spans="3:3" x14ac:dyDescent="0.25">
      <c r="C524324" s="10">
        <v>7</v>
      </c>
    </row>
    <row r="524325" spans="3:3" x14ac:dyDescent="0.25">
      <c r="C524325" s="10">
        <v>136</v>
      </c>
    </row>
    <row r="540673" spans="3:3" ht="30" x14ac:dyDescent="0.25">
      <c r="C540673" s="10" t="s">
        <v>214</v>
      </c>
    </row>
    <row r="540674" spans="3:3" x14ac:dyDescent="0.25">
      <c r="C540674" s="10" t="s">
        <v>215</v>
      </c>
    </row>
    <row r="540675" spans="3:3" x14ac:dyDescent="0.25">
      <c r="C540675" s="11">
        <v>42166</v>
      </c>
    </row>
    <row r="540676" spans="3:3" x14ac:dyDescent="0.25">
      <c r="C540676" s="10" t="s">
        <v>216</v>
      </c>
    </row>
    <row r="540677" spans="3:3" ht="30" x14ac:dyDescent="0.25">
      <c r="C540677" s="10" t="s">
        <v>217</v>
      </c>
    </row>
    <row r="540678" spans="3:3" x14ac:dyDescent="0.25">
      <c r="C540678" s="10" t="s">
        <v>218</v>
      </c>
    </row>
    <row r="540679" spans="3:3" x14ac:dyDescent="0.25">
      <c r="C540679" s="10" t="s">
        <v>218</v>
      </c>
    </row>
    <row r="540680" spans="3:3" x14ac:dyDescent="0.25">
      <c r="C540680" s="10" t="s">
        <v>219</v>
      </c>
    </row>
    <row r="540681" spans="3:3" x14ac:dyDescent="0.25">
      <c r="C540681" s="10" t="s">
        <v>220</v>
      </c>
    </row>
    <row r="540682" spans="3:3" x14ac:dyDescent="0.25">
      <c r="C540682" s="10" t="s">
        <v>221</v>
      </c>
    </row>
    <row r="540683" spans="3:3" x14ac:dyDescent="0.25">
      <c r="C540683" s="10" t="s">
        <v>222</v>
      </c>
    </row>
    <row r="540684" spans="3:3" x14ac:dyDescent="0.25">
      <c r="C540684" s="10" t="s">
        <v>183</v>
      </c>
    </row>
    <row r="540685" spans="3:3" ht="30" x14ac:dyDescent="0.25">
      <c r="C540685" s="10" t="s">
        <v>223</v>
      </c>
    </row>
    <row r="540686" spans="3:3" x14ac:dyDescent="0.25">
      <c r="C540686" s="10" t="s">
        <v>224</v>
      </c>
    </row>
    <row r="540687" spans="3:3" x14ac:dyDescent="0.25">
      <c r="C540687" s="10" t="s">
        <v>225</v>
      </c>
    </row>
    <row r="540688" spans="3:3" x14ac:dyDescent="0.25">
      <c r="C540688" s="10" t="s">
        <v>226</v>
      </c>
    </row>
    <row r="540689" spans="3:3" x14ac:dyDescent="0.25">
      <c r="C540689" s="10" t="s">
        <v>227</v>
      </c>
    </row>
    <row r="540690" spans="3:3" x14ac:dyDescent="0.25">
      <c r="C540690" s="10" t="s">
        <v>228</v>
      </c>
    </row>
    <row r="540691" spans="3:3" x14ac:dyDescent="0.25">
      <c r="C540691" s="10" t="s">
        <v>229</v>
      </c>
    </row>
    <row r="540692" spans="3:3" x14ac:dyDescent="0.25">
      <c r="C540692" s="12">
        <v>0.05</v>
      </c>
    </row>
    <row r="540693" spans="3:3" x14ac:dyDescent="0.25">
      <c r="C540693" s="10" t="s">
        <v>230</v>
      </c>
    </row>
    <row r="540694" spans="3:3" x14ac:dyDescent="0.25">
      <c r="C540694" s="10" t="s">
        <v>231</v>
      </c>
    </row>
    <row r="540695" spans="3:3" x14ac:dyDescent="0.25">
      <c r="C540695" s="10">
        <v>16</v>
      </c>
    </row>
    <row r="540696" spans="3:3" x14ac:dyDescent="0.25">
      <c r="C540696" s="10">
        <v>12</v>
      </c>
    </row>
    <row r="540697" spans="3:3" x14ac:dyDescent="0.25">
      <c r="C540697" s="10">
        <v>14</v>
      </c>
    </row>
    <row r="540698" spans="3:3" x14ac:dyDescent="0.25">
      <c r="C540698" s="10">
        <v>12</v>
      </c>
    </row>
    <row r="540699" spans="3:3" x14ac:dyDescent="0.25">
      <c r="C540699" s="10">
        <v>8</v>
      </c>
    </row>
    <row r="540700" spans="3:3" x14ac:dyDescent="0.25">
      <c r="C540700" s="10">
        <v>2</v>
      </c>
    </row>
    <row r="540701" spans="3:3" x14ac:dyDescent="0.25">
      <c r="C540701" s="10">
        <v>18</v>
      </c>
    </row>
    <row r="540702" spans="3:3" x14ac:dyDescent="0.25">
      <c r="C540702" s="10">
        <v>17</v>
      </c>
    </row>
    <row r="540703" spans="3:3" x14ac:dyDescent="0.25">
      <c r="C540703" s="10">
        <v>3</v>
      </c>
    </row>
    <row r="540704" spans="3:3" x14ac:dyDescent="0.25">
      <c r="C540704" s="10">
        <v>2</v>
      </c>
    </row>
    <row r="540705" spans="3:3" x14ac:dyDescent="0.25">
      <c r="C540705" s="10">
        <v>9</v>
      </c>
    </row>
    <row r="540706" spans="3:3" x14ac:dyDescent="0.25">
      <c r="C540706" s="10">
        <v>9</v>
      </c>
    </row>
    <row r="540707" spans="3:3" x14ac:dyDescent="0.25">
      <c r="C540707" s="10">
        <v>7</v>
      </c>
    </row>
    <row r="540708" spans="3:3" x14ac:dyDescent="0.25">
      <c r="C540708" s="10">
        <v>7</v>
      </c>
    </row>
    <row r="540709" spans="3:3" x14ac:dyDescent="0.25">
      <c r="C540709" s="10">
        <v>136</v>
      </c>
    </row>
    <row r="557057" spans="3:3" ht="30" x14ac:dyDescent="0.25">
      <c r="C557057" s="10" t="s">
        <v>214</v>
      </c>
    </row>
    <row r="557058" spans="3:3" x14ac:dyDescent="0.25">
      <c r="C557058" s="10" t="s">
        <v>215</v>
      </c>
    </row>
    <row r="557059" spans="3:3" x14ac:dyDescent="0.25">
      <c r="C557059" s="11">
        <v>42166</v>
      </c>
    </row>
    <row r="557060" spans="3:3" x14ac:dyDescent="0.25">
      <c r="C557060" s="10" t="s">
        <v>216</v>
      </c>
    </row>
    <row r="557061" spans="3:3" ht="30" x14ac:dyDescent="0.25">
      <c r="C557061" s="10" t="s">
        <v>217</v>
      </c>
    </row>
    <row r="557062" spans="3:3" x14ac:dyDescent="0.25">
      <c r="C557062" s="10" t="s">
        <v>218</v>
      </c>
    </row>
    <row r="557063" spans="3:3" x14ac:dyDescent="0.25">
      <c r="C557063" s="10" t="s">
        <v>218</v>
      </c>
    </row>
    <row r="557064" spans="3:3" x14ac:dyDescent="0.25">
      <c r="C557064" s="10" t="s">
        <v>219</v>
      </c>
    </row>
    <row r="557065" spans="3:3" x14ac:dyDescent="0.25">
      <c r="C557065" s="10" t="s">
        <v>220</v>
      </c>
    </row>
    <row r="557066" spans="3:3" x14ac:dyDescent="0.25">
      <c r="C557066" s="10" t="s">
        <v>221</v>
      </c>
    </row>
    <row r="557067" spans="3:3" x14ac:dyDescent="0.25">
      <c r="C557067" s="10" t="s">
        <v>222</v>
      </c>
    </row>
    <row r="557068" spans="3:3" x14ac:dyDescent="0.25">
      <c r="C557068" s="10" t="s">
        <v>183</v>
      </c>
    </row>
    <row r="557069" spans="3:3" ht="30" x14ac:dyDescent="0.25">
      <c r="C557069" s="10" t="s">
        <v>223</v>
      </c>
    </row>
    <row r="557070" spans="3:3" x14ac:dyDescent="0.25">
      <c r="C557070" s="10" t="s">
        <v>224</v>
      </c>
    </row>
    <row r="557071" spans="3:3" x14ac:dyDescent="0.25">
      <c r="C557071" s="10" t="s">
        <v>225</v>
      </c>
    </row>
    <row r="557072" spans="3:3" x14ac:dyDescent="0.25">
      <c r="C557072" s="10" t="s">
        <v>226</v>
      </c>
    </row>
    <row r="557073" spans="3:3" x14ac:dyDescent="0.25">
      <c r="C557073" s="10" t="s">
        <v>227</v>
      </c>
    </row>
    <row r="557074" spans="3:3" x14ac:dyDescent="0.25">
      <c r="C557074" s="10" t="s">
        <v>228</v>
      </c>
    </row>
    <row r="557075" spans="3:3" x14ac:dyDescent="0.25">
      <c r="C557075" s="10" t="s">
        <v>229</v>
      </c>
    </row>
    <row r="557076" spans="3:3" x14ac:dyDescent="0.25">
      <c r="C557076" s="12">
        <v>0.05</v>
      </c>
    </row>
    <row r="557077" spans="3:3" x14ac:dyDescent="0.25">
      <c r="C557077" s="10" t="s">
        <v>230</v>
      </c>
    </row>
    <row r="557078" spans="3:3" x14ac:dyDescent="0.25">
      <c r="C557078" s="10" t="s">
        <v>231</v>
      </c>
    </row>
    <row r="557079" spans="3:3" x14ac:dyDescent="0.25">
      <c r="C557079" s="10">
        <v>16</v>
      </c>
    </row>
    <row r="557080" spans="3:3" x14ac:dyDescent="0.25">
      <c r="C557080" s="10">
        <v>12</v>
      </c>
    </row>
    <row r="557081" spans="3:3" x14ac:dyDescent="0.25">
      <c r="C557081" s="10">
        <v>14</v>
      </c>
    </row>
    <row r="557082" spans="3:3" x14ac:dyDescent="0.25">
      <c r="C557082" s="10">
        <v>12</v>
      </c>
    </row>
    <row r="557083" spans="3:3" x14ac:dyDescent="0.25">
      <c r="C557083" s="10">
        <v>8</v>
      </c>
    </row>
    <row r="557084" spans="3:3" x14ac:dyDescent="0.25">
      <c r="C557084" s="10">
        <v>2</v>
      </c>
    </row>
    <row r="557085" spans="3:3" x14ac:dyDescent="0.25">
      <c r="C557085" s="10">
        <v>18</v>
      </c>
    </row>
    <row r="557086" spans="3:3" x14ac:dyDescent="0.25">
      <c r="C557086" s="10">
        <v>17</v>
      </c>
    </row>
    <row r="557087" spans="3:3" x14ac:dyDescent="0.25">
      <c r="C557087" s="10">
        <v>3</v>
      </c>
    </row>
    <row r="557088" spans="3:3" x14ac:dyDescent="0.25">
      <c r="C557088" s="10">
        <v>2</v>
      </c>
    </row>
    <row r="557089" spans="3:3" x14ac:dyDescent="0.25">
      <c r="C557089" s="10">
        <v>9</v>
      </c>
    </row>
    <row r="557090" spans="3:3" x14ac:dyDescent="0.25">
      <c r="C557090" s="10">
        <v>9</v>
      </c>
    </row>
    <row r="557091" spans="3:3" x14ac:dyDescent="0.25">
      <c r="C557091" s="10">
        <v>7</v>
      </c>
    </row>
    <row r="557092" spans="3:3" x14ac:dyDescent="0.25">
      <c r="C557092" s="10">
        <v>7</v>
      </c>
    </row>
    <row r="557093" spans="3:3" x14ac:dyDescent="0.25">
      <c r="C557093" s="10">
        <v>136</v>
      </c>
    </row>
    <row r="573441" spans="3:3" ht="30" x14ac:dyDescent="0.25">
      <c r="C573441" s="10" t="s">
        <v>214</v>
      </c>
    </row>
    <row r="573442" spans="3:3" x14ac:dyDescent="0.25">
      <c r="C573442" s="10" t="s">
        <v>215</v>
      </c>
    </row>
    <row r="573443" spans="3:3" x14ac:dyDescent="0.25">
      <c r="C573443" s="11">
        <v>42166</v>
      </c>
    </row>
    <row r="573444" spans="3:3" x14ac:dyDescent="0.25">
      <c r="C573444" s="10" t="s">
        <v>216</v>
      </c>
    </row>
    <row r="573445" spans="3:3" ht="30" x14ac:dyDescent="0.25">
      <c r="C573445" s="10" t="s">
        <v>217</v>
      </c>
    </row>
    <row r="573446" spans="3:3" x14ac:dyDescent="0.25">
      <c r="C573446" s="10" t="s">
        <v>218</v>
      </c>
    </row>
    <row r="573447" spans="3:3" x14ac:dyDescent="0.25">
      <c r="C573447" s="10" t="s">
        <v>218</v>
      </c>
    </row>
    <row r="573448" spans="3:3" x14ac:dyDescent="0.25">
      <c r="C573448" s="10" t="s">
        <v>219</v>
      </c>
    </row>
    <row r="573449" spans="3:3" x14ac:dyDescent="0.25">
      <c r="C573449" s="10" t="s">
        <v>220</v>
      </c>
    </row>
    <row r="573450" spans="3:3" x14ac:dyDescent="0.25">
      <c r="C573450" s="10" t="s">
        <v>221</v>
      </c>
    </row>
    <row r="573451" spans="3:3" x14ac:dyDescent="0.25">
      <c r="C573451" s="10" t="s">
        <v>222</v>
      </c>
    </row>
    <row r="573452" spans="3:3" x14ac:dyDescent="0.25">
      <c r="C573452" s="10" t="s">
        <v>183</v>
      </c>
    </row>
    <row r="573453" spans="3:3" ht="30" x14ac:dyDescent="0.25">
      <c r="C573453" s="10" t="s">
        <v>223</v>
      </c>
    </row>
    <row r="573454" spans="3:3" x14ac:dyDescent="0.25">
      <c r="C573454" s="10" t="s">
        <v>224</v>
      </c>
    </row>
    <row r="573455" spans="3:3" x14ac:dyDescent="0.25">
      <c r="C573455" s="10" t="s">
        <v>225</v>
      </c>
    </row>
    <row r="573456" spans="3:3" x14ac:dyDescent="0.25">
      <c r="C573456" s="10" t="s">
        <v>226</v>
      </c>
    </row>
    <row r="573457" spans="3:3" x14ac:dyDescent="0.25">
      <c r="C573457" s="10" t="s">
        <v>227</v>
      </c>
    </row>
    <row r="573458" spans="3:3" x14ac:dyDescent="0.25">
      <c r="C573458" s="10" t="s">
        <v>228</v>
      </c>
    </row>
    <row r="573459" spans="3:3" x14ac:dyDescent="0.25">
      <c r="C573459" s="10" t="s">
        <v>229</v>
      </c>
    </row>
    <row r="573460" spans="3:3" x14ac:dyDescent="0.25">
      <c r="C573460" s="12">
        <v>0.05</v>
      </c>
    </row>
    <row r="573461" spans="3:3" x14ac:dyDescent="0.25">
      <c r="C573461" s="10" t="s">
        <v>230</v>
      </c>
    </row>
    <row r="573462" spans="3:3" x14ac:dyDescent="0.25">
      <c r="C573462" s="10" t="s">
        <v>231</v>
      </c>
    </row>
    <row r="573463" spans="3:3" x14ac:dyDescent="0.25">
      <c r="C573463" s="10">
        <v>16</v>
      </c>
    </row>
    <row r="573464" spans="3:3" x14ac:dyDescent="0.25">
      <c r="C573464" s="10">
        <v>12</v>
      </c>
    </row>
    <row r="573465" spans="3:3" x14ac:dyDescent="0.25">
      <c r="C573465" s="10">
        <v>14</v>
      </c>
    </row>
    <row r="573466" spans="3:3" x14ac:dyDescent="0.25">
      <c r="C573466" s="10">
        <v>12</v>
      </c>
    </row>
    <row r="573467" spans="3:3" x14ac:dyDescent="0.25">
      <c r="C573467" s="10">
        <v>8</v>
      </c>
    </row>
    <row r="573468" spans="3:3" x14ac:dyDescent="0.25">
      <c r="C573468" s="10">
        <v>2</v>
      </c>
    </row>
    <row r="573469" spans="3:3" x14ac:dyDescent="0.25">
      <c r="C573469" s="10">
        <v>18</v>
      </c>
    </row>
    <row r="573470" spans="3:3" x14ac:dyDescent="0.25">
      <c r="C573470" s="10">
        <v>17</v>
      </c>
    </row>
    <row r="573471" spans="3:3" x14ac:dyDescent="0.25">
      <c r="C573471" s="10">
        <v>3</v>
      </c>
    </row>
    <row r="573472" spans="3:3" x14ac:dyDescent="0.25">
      <c r="C573472" s="10">
        <v>2</v>
      </c>
    </row>
    <row r="573473" spans="3:3" x14ac:dyDescent="0.25">
      <c r="C573473" s="10">
        <v>9</v>
      </c>
    </row>
    <row r="573474" spans="3:3" x14ac:dyDescent="0.25">
      <c r="C573474" s="10">
        <v>9</v>
      </c>
    </row>
    <row r="573475" spans="3:3" x14ac:dyDescent="0.25">
      <c r="C573475" s="10">
        <v>7</v>
      </c>
    </row>
    <row r="573476" spans="3:3" x14ac:dyDescent="0.25">
      <c r="C573476" s="10">
        <v>7</v>
      </c>
    </row>
    <row r="573477" spans="3:3" x14ac:dyDescent="0.25">
      <c r="C573477" s="10">
        <v>136</v>
      </c>
    </row>
    <row r="589825" spans="3:3" ht="30" x14ac:dyDescent="0.25">
      <c r="C589825" s="10" t="s">
        <v>214</v>
      </c>
    </row>
    <row r="589826" spans="3:3" x14ac:dyDescent="0.25">
      <c r="C589826" s="10" t="s">
        <v>215</v>
      </c>
    </row>
    <row r="589827" spans="3:3" x14ac:dyDescent="0.25">
      <c r="C589827" s="11">
        <v>42166</v>
      </c>
    </row>
    <row r="589828" spans="3:3" x14ac:dyDescent="0.25">
      <c r="C589828" s="10" t="s">
        <v>216</v>
      </c>
    </row>
    <row r="589829" spans="3:3" ht="30" x14ac:dyDescent="0.25">
      <c r="C589829" s="10" t="s">
        <v>217</v>
      </c>
    </row>
    <row r="589830" spans="3:3" x14ac:dyDescent="0.25">
      <c r="C589830" s="10" t="s">
        <v>218</v>
      </c>
    </row>
    <row r="589831" spans="3:3" x14ac:dyDescent="0.25">
      <c r="C589831" s="10" t="s">
        <v>218</v>
      </c>
    </row>
    <row r="589832" spans="3:3" x14ac:dyDescent="0.25">
      <c r="C589832" s="10" t="s">
        <v>219</v>
      </c>
    </row>
    <row r="589833" spans="3:3" x14ac:dyDescent="0.25">
      <c r="C589833" s="10" t="s">
        <v>220</v>
      </c>
    </row>
    <row r="589834" spans="3:3" x14ac:dyDescent="0.25">
      <c r="C589834" s="10" t="s">
        <v>221</v>
      </c>
    </row>
    <row r="589835" spans="3:3" x14ac:dyDescent="0.25">
      <c r="C589835" s="10" t="s">
        <v>222</v>
      </c>
    </row>
    <row r="589836" spans="3:3" x14ac:dyDescent="0.25">
      <c r="C589836" s="10" t="s">
        <v>183</v>
      </c>
    </row>
    <row r="589837" spans="3:3" ht="30" x14ac:dyDescent="0.25">
      <c r="C589837" s="10" t="s">
        <v>223</v>
      </c>
    </row>
    <row r="589838" spans="3:3" x14ac:dyDescent="0.25">
      <c r="C589838" s="10" t="s">
        <v>224</v>
      </c>
    </row>
    <row r="589839" spans="3:3" x14ac:dyDescent="0.25">
      <c r="C589839" s="10" t="s">
        <v>225</v>
      </c>
    </row>
    <row r="589840" spans="3:3" x14ac:dyDescent="0.25">
      <c r="C589840" s="10" t="s">
        <v>226</v>
      </c>
    </row>
    <row r="589841" spans="3:3" x14ac:dyDescent="0.25">
      <c r="C589841" s="10" t="s">
        <v>227</v>
      </c>
    </row>
    <row r="589842" spans="3:3" x14ac:dyDescent="0.25">
      <c r="C589842" s="10" t="s">
        <v>228</v>
      </c>
    </row>
    <row r="589843" spans="3:3" x14ac:dyDescent="0.25">
      <c r="C589843" s="10" t="s">
        <v>229</v>
      </c>
    </row>
    <row r="589844" spans="3:3" x14ac:dyDescent="0.25">
      <c r="C589844" s="12">
        <v>0.05</v>
      </c>
    </row>
    <row r="589845" spans="3:3" x14ac:dyDescent="0.25">
      <c r="C589845" s="10" t="s">
        <v>230</v>
      </c>
    </row>
    <row r="589846" spans="3:3" x14ac:dyDescent="0.25">
      <c r="C589846" s="10" t="s">
        <v>231</v>
      </c>
    </row>
    <row r="589847" spans="3:3" x14ac:dyDescent="0.25">
      <c r="C589847" s="10">
        <v>16</v>
      </c>
    </row>
    <row r="589848" spans="3:3" x14ac:dyDescent="0.25">
      <c r="C589848" s="10">
        <v>12</v>
      </c>
    </row>
    <row r="589849" spans="3:3" x14ac:dyDescent="0.25">
      <c r="C589849" s="10">
        <v>14</v>
      </c>
    </row>
    <row r="589850" spans="3:3" x14ac:dyDescent="0.25">
      <c r="C589850" s="10">
        <v>12</v>
      </c>
    </row>
    <row r="589851" spans="3:3" x14ac:dyDescent="0.25">
      <c r="C589851" s="10">
        <v>8</v>
      </c>
    </row>
    <row r="589852" spans="3:3" x14ac:dyDescent="0.25">
      <c r="C589852" s="10">
        <v>2</v>
      </c>
    </row>
    <row r="589853" spans="3:3" x14ac:dyDescent="0.25">
      <c r="C589853" s="10">
        <v>18</v>
      </c>
    </row>
    <row r="589854" spans="3:3" x14ac:dyDescent="0.25">
      <c r="C589854" s="10">
        <v>17</v>
      </c>
    </row>
    <row r="589855" spans="3:3" x14ac:dyDescent="0.25">
      <c r="C589855" s="10">
        <v>3</v>
      </c>
    </row>
    <row r="589856" spans="3:3" x14ac:dyDescent="0.25">
      <c r="C589856" s="10">
        <v>2</v>
      </c>
    </row>
    <row r="589857" spans="3:3" x14ac:dyDescent="0.25">
      <c r="C589857" s="10">
        <v>9</v>
      </c>
    </row>
    <row r="589858" spans="3:3" x14ac:dyDescent="0.25">
      <c r="C589858" s="10">
        <v>9</v>
      </c>
    </row>
    <row r="589859" spans="3:3" x14ac:dyDescent="0.25">
      <c r="C589859" s="10">
        <v>7</v>
      </c>
    </row>
    <row r="589860" spans="3:3" x14ac:dyDescent="0.25">
      <c r="C589860" s="10">
        <v>7</v>
      </c>
    </row>
    <row r="589861" spans="3:3" x14ac:dyDescent="0.25">
      <c r="C589861" s="10">
        <v>136</v>
      </c>
    </row>
    <row r="606209" spans="3:3" ht="30" x14ac:dyDescent="0.25">
      <c r="C606209" s="10" t="s">
        <v>214</v>
      </c>
    </row>
    <row r="606210" spans="3:3" x14ac:dyDescent="0.25">
      <c r="C606210" s="10" t="s">
        <v>215</v>
      </c>
    </row>
    <row r="606211" spans="3:3" x14ac:dyDescent="0.25">
      <c r="C606211" s="11">
        <v>42166</v>
      </c>
    </row>
    <row r="606212" spans="3:3" x14ac:dyDescent="0.25">
      <c r="C606212" s="10" t="s">
        <v>216</v>
      </c>
    </row>
    <row r="606213" spans="3:3" ht="30" x14ac:dyDescent="0.25">
      <c r="C606213" s="10" t="s">
        <v>217</v>
      </c>
    </row>
    <row r="606214" spans="3:3" x14ac:dyDescent="0.25">
      <c r="C606214" s="10" t="s">
        <v>218</v>
      </c>
    </row>
    <row r="606215" spans="3:3" x14ac:dyDescent="0.25">
      <c r="C606215" s="10" t="s">
        <v>218</v>
      </c>
    </row>
    <row r="606216" spans="3:3" x14ac:dyDescent="0.25">
      <c r="C606216" s="10" t="s">
        <v>219</v>
      </c>
    </row>
    <row r="606217" spans="3:3" x14ac:dyDescent="0.25">
      <c r="C606217" s="10" t="s">
        <v>220</v>
      </c>
    </row>
    <row r="606218" spans="3:3" x14ac:dyDescent="0.25">
      <c r="C606218" s="10" t="s">
        <v>221</v>
      </c>
    </row>
    <row r="606219" spans="3:3" x14ac:dyDescent="0.25">
      <c r="C606219" s="10" t="s">
        <v>222</v>
      </c>
    </row>
    <row r="606220" spans="3:3" x14ac:dyDescent="0.25">
      <c r="C606220" s="10" t="s">
        <v>183</v>
      </c>
    </row>
    <row r="606221" spans="3:3" ht="30" x14ac:dyDescent="0.25">
      <c r="C606221" s="10" t="s">
        <v>223</v>
      </c>
    </row>
    <row r="606222" spans="3:3" x14ac:dyDescent="0.25">
      <c r="C606222" s="10" t="s">
        <v>224</v>
      </c>
    </row>
    <row r="606223" spans="3:3" x14ac:dyDescent="0.25">
      <c r="C606223" s="10" t="s">
        <v>225</v>
      </c>
    </row>
    <row r="606224" spans="3:3" x14ac:dyDescent="0.25">
      <c r="C606224" s="10" t="s">
        <v>226</v>
      </c>
    </row>
    <row r="606225" spans="3:3" x14ac:dyDescent="0.25">
      <c r="C606225" s="10" t="s">
        <v>227</v>
      </c>
    </row>
    <row r="606226" spans="3:3" x14ac:dyDescent="0.25">
      <c r="C606226" s="10" t="s">
        <v>228</v>
      </c>
    </row>
    <row r="606227" spans="3:3" x14ac:dyDescent="0.25">
      <c r="C606227" s="10" t="s">
        <v>229</v>
      </c>
    </row>
    <row r="606228" spans="3:3" x14ac:dyDescent="0.25">
      <c r="C606228" s="12">
        <v>0.05</v>
      </c>
    </row>
    <row r="606229" spans="3:3" x14ac:dyDescent="0.25">
      <c r="C606229" s="10" t="s">
        <v>230</v>
      </c>
    </row>
    <row r="606230" spans="3:3" x14ac:dyDescent="0.25">
      <c r="C606230" s="10" t="s">
        <v>231</v>
      </c>
    </row>
    <row r="606231" spans="3:3" x14ac:dyDescent="0.25">
      <c r="C606231" s="10">
        <v>16</v>
      </c>
    </row>
    <row r="606232" spans="3:3" x14ac:dyDescent="0.25">
      <c r="C606232" s="10">
        <v>12</v>
      </c>
    </row>
    <row r="606233" spans="3:3" x14ac:dyDescent="0.25">
      <c r="C606233" s="10">
        <v>14</v>
      </c>
    </row>
    <row r="606234" spans="3:3" x14ac:dyDescent="0.25">
      <c r="C606234" s="10">
        <v>12</v>
      </c>
    </row>
    <row r="606235" spans="3:3" x14ac:dyDescent="0.25">
      <c r="C606235" s="10">
        <v>8</v>
      </c>
    </row>
    <row r="606236" spans="3:3" x14ac:dyDescent="0.25">
      <c r="C606236" s="10">
        <v>2</v>
      </c>
    </row>
    <row r="606237" spans="3:3" x14ac:dyDescent="0.25">
      <c r="C606237" s="10">
        <v>18</v>
      </c>
    </row>
    <row r="606238" spans="3:3" x14ac:dyDescent="0.25">
      <c r="C606238" s="10">
        <v>17</v>
      </c>
    </row>
    <row r="606239" spans="3:3" x14ac:dyDescent="0.25">
      <c r="C606239" s="10">
        <v>3</v>
      </c>
    </row>
    <row r="606240" spans="3:3" x14ac:dyDescent="0.25">
      <c r="C606240" s="10">
        <v>2</v>
      </c>
    </row>
    <row r="606241" spans="3:3" x14ac:dyDescent="0.25">
      <c r="C606241" s="10">
        <v>9</v>
      </c>
    </row>
    <row r="606242" spans="3:3" x14ac:dyDescent="0.25">
      <c r="C606242" s="10">
        <v>9</v>
      </c>
    </row>
    <row r="606243" spans="3:3" x14ac:dyDescent="0.25">
      <c r="C606243" s="10">
        <v>7</v>
      </c>
    </row>
    <row r="606244" spans="3:3" x14ac:dyDescent="0.25">
      <c r="C606244" s="10">
        <v>7</v>
      </c>
    </row>
    <row r="606245" spans="3:3" x14ac:dyDescent="0.25">
      <c r="C606245" s="10">
        <v>136</v>
      </c>
    </row>
    <row r="622593" spans="3:3" ht="30" x14ac:dyDescent="0.25">
      <c r="C622593" s="10" t="s">
        <v>214</v>
      </c>
    </row>
    <row r="622594" spans="3:3" x14ac:dyDescent="0.25">
      <c r="C622594" s="10" t="s">
        <v>215</v>
      </c>
    </row>
    <row r="622595" spans="3:3" x14ac:dyDescent="0.25">
      <c r="C622595" s="11">
        <v>42166</v>
      </c>
    </row>
    <row r="622596" spans="3:3" x14ac:dyDescent="0.25">
      <c r="C622596" s="10" t="s">
        <v>216</v>
      </c>
    </row>
    <row r="622597" spans="3:3" ht="30" x14ac:dyDescent="0.25">
      <c r="C622597" s="10" t="s">
        <v>217</v>
      </c>
    </row>
    <row r="622598" spans="3:3" x14ac:dyDescent="0.25">
      <c r="C622598" s="10" t="s">
        <v>218</v>
      </c>
    </row>
    <row r="622599" spans="3:3" x14ac:dyDescent="0.25">
      <c r="C622599" s="10" t="s">
        <v>218</v>
      </c>
    </row>
    <row r="622600" spans="3:3" x14ac:dyDescent="0.25">
      <c r="C622600" s="10" t="s">
        <v>219</v>
      </c>
    </row>
    <row r="622601" spans="3:3" x14ac:dyDescent="0.25">
      <c r="C622601" s="10" t="s">
        <v>220</v>
      </c>
    </row>
    <row r="622602" spans="3:3" x14ac:dyDescent="0.25">
      <c r="C622602" s="10" t="s">
        <v>221</v>
      </c>
    </row>
    <row r="622603" spans="3:3" x14ac:dyDescent="0.25">
      <c r="C622603" s="10" t="s">
        <v>222</v>
      </c>
    </row>
    <row r="622604" spans="3:3" x14ac:dyDescent="0.25">
      <c r="C622604" s="10" t="s">
        <v>183</v>
      </c>
    </row>
    <row r="622605" spans="3:3" ht="30" x14ac:dyDescent="0.25">
      <c r="C622605" s="10" t="s">
        <v>223</v>
      </c>
    </row>
    <row r="622606" spans="3:3" x14ac:dyDescent="0.25">
      <c r="C622606" s="10" t="s">
        <v>224</v>
      </c>
    </row>
    <row r="622607" spans="3:3" x14ac:dyDescent="0.25">
      <c r="C622607" s="10" t="s">
        <v>225</v>
      </c>
    </row>
    <row r="622608" spans="3:3" x14ac:dyDescent="0.25">
      <c r="C622608" s="10" t="s">
        <v>226</v>
      </c>
    </row>
    <row r="622609" spans="3:3" x14ac:dyDescent="0.25">
      <c r="C622609" s="10" t="s">
        <v>227</v>
      </c>
    </row>
    <row r="622610" spans="3:3" x14ac:dyDescent="0.25">
      <c r="C622610" s="10" t="s">
        <v>228</v>
      </c>
    </row>
    <row r="622611" spans="3:3" x14ac:dyDescent="0.25">
      <c r="C622611" s="10" t="s">
        <v>229</v>
      </c>
    </row>
    <row r="622612" spans="3:3" x14ac:dyDescent="0.25">
      <c r="C622612" s="12">
        <v>0.05</v>
      </c>
    </row>
    <row r="622613" spans="3:3" x14ac:dyDescent="0.25">
      <c r="C622613" s="10" t="s">
        <v>230</v>
      </c>
    </row>
    <row r="622614" spans="3:3" x14ac:dyDescent="0.25">
      <c r="C622614" s="10" t="s">
        <v>231</v>
      </c>
    </row>
    <row r="622615" spans="3:3" x14ac:dyDescent="0.25">
      <c r="C622615" s="10">
        <v>16</v>
      </c>
    </row>
    <row r="622616" spans="3:3" x14ac:dyDescent="0.25">
      <c r="C622616" s="10">
        <v>12</v>
      </c>
    </row>
    <row r="622617" spans="3:3" x14ac:dyDescent="0.25">
      <c r="C622617" s="10">
        <v>14</v>
      </c>
    </row>
    <row r="622618" spans="3:3" x14ac:dyDescent="0.25">
      <c r="C622618" s="10">
        <v>12</v>
      </c>
    </row>
    <row r="622619" spans="3:3" x14ac:dyDescent="0.25">
      <c r="C622619" s="10">
        <v>8</v>
      </c>
    </row>
    <row r="622620" spans="3:3" x14ac:dyDescent="0.25">
      <c r="C622620" s="10">
        <v>2</v>
      </c>
    </row>
    <row r="622621" spans="3:3" x14ac:dyDescent="0.25">
      <c r="C622621" s="10">
        <v>18</v>
      </c>
    </row>
    <row r="622622" spans="3:3" x14ac:dyDescent="0.25">
      <c r="C622622" s="10">
        <v>17</v>
      </c>
    </row>
    <row r="622623" spans="3:3" x14ac:dyDescent="0.25">
      <c r="C622623" s="10">
        <v>3</v>
      </c>
    </row>
    <row r="622624" spans="3:3" x14ac:dyDescent="0.25">
      <c r="C622624" s="10">
        <v>2</v>
      </c>
    </row>
    <row r="622625" spans="3:3" x14ac:dyDescent="0.25">
      <c r="C622625" s="10">
        <v>9</v>
      </c>
    </row>
    <row r="622626" spans="3:3" x14ac:dyDescent="0.25">
      <c r="C622626" s="10">
        <v>9</v>
      </c>
    </row>
    <row r="622627" spans="3:3" x14ac:dyDescent="0.25">
      <c r="C622627" s="10">
        <v>7</v>
      </c>
    </row>
    <row r="622628" spans="3:3" x14ac:dyDescent="0.25">
      <c r="C622628" s="10">
        <v>7</v>
      </c>
    </row>
    <row r="622629" spans="3:3" x14ac:dyDescent="0.25">
      <c r="C622629" s="10">
        <v>136</v>
      </c>
    </row>
    <row r="638977" spans="3:3" ht="30" x14ac:dyDescent="0.25">
      <c r="C638977" s="10" t="s">
        <v>214</v>
      </c>
    </row>
    <row r="638978" spans="3:3" x14ac:dyDescent="0.25">
      <c r="C638978" s="10" t="s">
        <v>215</v>
      </c>
    </row>
    <row r="638979" spans="3:3" x14ac:dyDescent="0.25">
      <c r="C638979" s="11">
        <v>42166</v>
      </c>
    </row>
    <row r="638980" spans="3:3" x14ac:dyDescent="0.25">
      <c r="C638980" s="10" t="s">
        <v>216</v>
      </c>
    </row>
    <row r="638981" spans="3:3" ht="30" x14ac:dyDescent="0.25">
      <c r="C638981" s="10" t="s">
        <v>217</v>
      </c>
    </row>
    <row r="638982" spans="3:3" x14ac:dyDescent="0.25">
      <c r="C638982" s="10" t="s">
        <v>218</v>
      </c>
    </row>
    <row r="638983" spans="3:3" x14ac:dyDescent="0.25">
      <c r="C638983" s="10" t="s">
        <v>218</v>
      </c>
    </row>
    <row r="638984" spans="3:3" x14ac:dyDescent="0.25">
      <c r="C638984" s="10" t="s">
        <v>219</v>
      </c>
    </row>
    <row r="638985" spans="3:3" x14ac:dyDescent="0.25">
      <c r="C638985" s="10" t="s">
        <v>220</v>
      </c>
    </row>
    <row r="638986" spans="3:3" x14ac:dyDescent="0.25">
      <c r="C638986" s="10" t="s">
        <v>221</v>
      </c>
    </row>
    <row r="638987" spans="3:3" x14ac:dyDescent="0.25">
      <c r="C638987" s="10" t="s">
        <v>222</v>
      </c>
    </row>
    <row r="638988" spans="3:3" x14ac:dyDescent="0.25">
      <c r="C638988" s="10" t="s">
        <v>183</v>
      </c>
    </row>
    <row r="638989" spans="3:3" ht="30" x14ac:dyDescent="0.25">
      <c r="C638989" s="10" t="s">
        <v>223</v>
      </c>
    </row>
    <row r="638990" spans="3:3" x14ac:dyDescent="0.25">
      <c r="C638990" s="10" t="s">
        <v>224</v>
      </c>
    </row>
    <row r="638991" spans="3:3" x14ac:dyDescent="0.25">
      <c r="C638991" s="10" t="s">
        <v>225</v>
      </c>
    </row>
    <row r="638992" spans="3:3" x14ac:dyDescent="0.25">
      <c r="C638992" s="10" t="s">
        <v>226</v>
      </c>
    </row>
    <row r="638993" spans="3:3" x14ac:dyDescent="0.25">
      <c r="C638993" s="10" t="s">
        <v>227</v>
      </c>
    </row>
    <row r="638994" spans="3:3" x14ac:dyDescent="0.25">
      <c r="C638994" s="10" t="s">
        <v>228</v>
      </c>
    </row>
    <row r="638995" spans="3:3" x14ac:dyDescent="0.25">
      <c r="C638995" s="10" t="s">
        <v>229</v>
      </c>
    </row>
    <row r="638996" spans="3:3" x14ac:dyDescent="0.25">
      <c r="C638996" s="12">
        <v>0.05</v>
      </c>
    </row>
    <row r="638997" spans="3:3" x14ac:dyDescent="0.25">
      <c r="C638997" s="10" t="s">
        <v>230</v>
      </c>
    </row>
    <row r="638998" spans="3:3" x14ac:dyDescent="0.25">
      <c r="C638998" s="10" t="s">
        <v>231</v>
      </c>
    </row>
    <row r="638999" spans="3:3" x14ac:dyDescent="0.25">
      <c r="C638999" s="10">
        <v>16</v>
      </c>
    </row>
    <row r="639000" spans="3:3" x14ac:dyDescent="0.25">
      <c r="C639000" s="10">
        <v>12</v>
      </c>
    </row>
    <row r="639001" spans="3:3" x14ac:dyDescent="0.25">
      <c r="C639001" s="10">
        <v>14</v>
      </c>
    </row>
    <row r="639002" spans="3:3" x14ac:dyDescent="0.25">
      <c r="C639002" s="10">
        <v>12</v>
      </c>
    </row>
    <row r="639003" spans="3:3" x14ac:dyDescent="0.25">
      <c r="C639003" s="10">
        <v>8</v>
      </c>
    </row>
    <row r="639004" spans="3:3" x14ac:dyDescent="0.25">
      <c r="C639004" s="10">
        <v>2</v>
      </c>
    </row>
    <row r="639005" spans="3:3" x14ac:dyDescent="0.25">
      <c r="C639005" s="10">
        <v>18</v>
      </c>
    </row>
    <row r="639006" spans="3:3" x14ac:dyDescent="0.25">
      <c r="C639006" s="10">
        <v>17</v>
      </c>
    </row>
    <row r="639007" spans="3:3" x14ac:dyDescent="0.25">
      <c r="C639007" s="10">
        <v>3</v>
      </c>
    </row>
    <row r="639008" spans="3:3" x14ac:dyDescent="0.25">
      <c r="C639008" s="10">
        <v>2</v>
      </c>
    </row>
    <row r="639009" spans="3:3" x14ac:dyDescent="0.25">
      <c r="C639009" s="10">
        <v>9</v>
      </c>
    </row>
    <row r="639010" spans="3:3" x14ac:dyDescent="0.25">
      <c r="C639010" s="10">
        <v>9</v>
      </c>
    </row>
    <row r="639011" spans="3:3" x14ac:dyDescent="0.25">
      <c r="C639011" s="10">
        <v>7</v>
      </c>
    </row>
    <row r="639012" spans="3:3" x14ac:dyDescent="0.25">
      <c r="C639012" s="10">
        <v>7</v>
      </c>
    </row>
    <row r="639013" spans="3:3" x14ac:dyDescent="0.25">
      <c r="C639013" s="10">
        <v>136</v>
      </c>
    </row>
    <row r="655361" spans="3:3" ht="30" x14ac:dyDescent="0.25">
      <c r="C655361" s="10" t="s">
        <v>214</v>
      </c>
    </row>
    <row r="655362" spans="3:3" x14ac:dyDescent="0.25">
      <c r="C655362" s="10" t="s">
        <v>215</v>
      </c>
    </row>
    <row r="655363" spans="3:3" x14ac:dyDescent="0.25">
      <c r="C655363" s="11">
        <v>42166</v>
      </c>
    </row>
    <row r="655364" spans="3:3" x14ac:dyDescent="0.25">
      <c r="C655364" s="10" t="s">
        <v>216</v>
      </c>
    </row>
    <row r="655365" spans="3:3" ht="30" x14ac:dyDescent="0.25">
      <c r="C655365" s="10" t="s">
        <v>217</v>
      </c>
    </row>
    <row r="655366" spans="3:3" x14ac:dyDescent="0.25">
      <c r="C655366" s="10" t="s">
        <v>218</v>
      </c>
    </row>
    <row r="655367" spans="3:3" x14ac:dyDescent="0.25">
      <c r="C655367" s="10" t="s">
        <v>218</v>
      </c>
    </row>
    <row r="655368" spans="3:3" x14ac:dyDescent="0.25">
      <c r="C655368" s="10" t="s">
        <v>219</v>
      </c>
    </row>
    <row r="655369" spans="3:3" x14ac:dyDescent="0.25">
      <c r="C655369" s="10" t="s">
        <v>220</v>
      </c>
    </row>
    <row r="655370" spans="3:3" x14ac:dyDescent="0.25">
      <c r="C655370" s="10" t="s">
        <v>221</v>
      </c>
    </row>
    <row r="655371" spans="3:3" x14ac:dyDescent="0.25">
      <c r="C655371" s="10" t="s">
        <v>222</v>
      </c>
    </row>
    <row r="655372" spans="3:3" x14ac:dyDescent="0.25">
      <c r="C655372" s="10" t="s">
        <v>183</v>
      </c>
    </row>
    <row r="655373" spans="3:3" ht="30" x14ac:dyDescent="0.25">
      <c r="C655373" s="10" t="s">
        <v>223</v>
      </c>
    </row>
    <row r="655374" spans="3:3" x14ac:dyDescent="0.25">
      <c r="C655374" s="10" t="s">
        <v>224</v>
      </c>
    </row>
    <row r="655375" spans="3:3" x14ac:dyDescent="0.25">
      <c r="C655375" s="10" t="s">
        <v>225</v>
      </c>
    </row>
    <row r="655376" spans="3:3" x14ac:dyDescent="0.25">
      <c r="C655376" s="10" t="s">
        <v>226</v>
      </c>
    </row>
    <row r="655377" spans="3:3" x14ac:dyDescent="0.25">
      <c r="C655377" s="10" t="s">
        <v>227</v>
      </c>
    </row>
    <row r="655378" spans="3:3" x14ac:dyDescent="0.25">
      <c r="C655378" s="10" t="s">
        <v>228</v>
      </c>
    </row>
    <row r="655379" spans="3:3" x14ac:dyDescent="0.25">
      <c r="C655379" s="10" t="s">
        <v>229</v>
      </c>
    </row>
    <row r="655380" spans="3:3" x14ac:dyDescent="0.25">
      <c r="C655380" s="12">
        <v>0.05</v>
      </c>
    </row>
    <row r="655381" spans="3:3" x14ac:dyDescent="0.25">
      <c r="C655381" s="10" t="s">
        <v>230</v>
      </c>
    </row>
    <row r="655382" spans="3:3" x14ac:dyDescent="0.25">
      <c r="C655382" s="10" t="s">
        <v>231</v>
      </c>
    </row>
    <row r="655383" spans="3:3" x14ac:dyDescent="0.25">
      <c r="C655383" s="10">
        <v>16</v>
      </c>
    </row>
    <row r="655384" spans="3:3" x14ac:dyDescent="0.25">
      <c r="C655384" s="10">
        <v>12</v>
      </c>
    </row>
    <row r="655385" spans="3:3" x14ac:dyDescent="0.25">
      <c r="C655385" s="10">
        <v>14</v>
      </c>
    </row>
    <row r="655386" spans="3:3" x14ac:dyDescent="0.25">
      <c r="C655386" s="10">
        <v>12</v>
      </c>
    </row>
    <row r="655387" spans="3:3" x14ac:dyDescent="0.25">
      <c r="C655387" s="10">
        <v>8</v>
      </c>
    </row>
    <row r="655388" spans="3:3" x14ac:dyDescent="0.25">
      <c r="C655388" s="10">
        <v>2</v>
      </c>
    </row>
    <row r="655389" spans="3:3" x14ac:dyDescent="0.25">
      <c r="C655389" s="10">
        <v>18</v>
      </c>
    </row>
    <row r="655390" spans="3:3" x14ac:dyDescent="0.25">
      <c r="C655390" s="10">
        <v>17</v>
      </c>
    </row>
    <row r="655391" spans="3:3" x14ac:dyDescent="0.25">
      <c r="C655391" s="10">
        <v>3</v>
      </c>
    </row>
    <row r="655392" spans="3:3" x14ac:dyDescent="0.25">
      <c r="C655392" s="10">
        <v>2</v>
      </c>
    </row>
    <row r="655393" spans="3:3" x14ac:dyDescent="0.25">
      <c r="C655393" s="10">
        <v>9</v>
      </c>
    </row>
    <row r="655394" spans="3:3" x14ac:dyDescent="0.25">
      <c r="C655394" s="10">
        <v>9</v>
      </c>
    </row>
    <row r="655395" spans="3:3" x14ac:dyDescent="0.25">
      <c r="C655395" s="10">
        <v>7</v>
      </c>
    </row>
    <row r="655396" spans="3:3" x14ac:dyDescent="0.25">
      <c r="C655396" s="10">
        <v>7</v>
      </c>
    </row>
    <row r="655397" spans="3:3" x14ac:dyDescent="0.25">
      <c r="C655397" s="10">
        <v>136</v>
      </c>
    </row>
    <row r="671745" spans="3:3" ht="30" x14ac:dyDescent="0.25">
      <c r="C671745" s="10" t="s">
        <v>214</v>
      </c>
    </row>
    <row r="671746" spans="3:3" x14ac:dyDescent="0.25">
      <c r="C671746" s="10" t="s">
        <v>215</v>
      </c>
    </row>
    <row r="671747" spans="3:3" x14ac:dyDescent="0.25">
      <c r="C671747" s="11">
        <v>42166</v>
      </c>
    </row>
    <row r="671748" spans="3:3" x14ac:dyDescent="0.25">
      <c r="C671748" s="10" t="s">
        <v>216</v>
      </c>
    </row>
    <row r="671749" spans="3:3" ht="30" x14ac:dyDescent="0.25">
      <c r="C671749" s="10" t="s">
        <v>217</v>
      </c>
    </row>
    <row r="671750" spans="3:3" x14ac:dyDescent="0.25">
      <c r="C671750" s="10" t="s">
        <v>218</v>
      </c>
    </row>
    <row r="671751" spans="3:3" x14ac:dyDescent="0.25">
      <c r="C671751" s="10" t="s">
        <v>218</v>
      </c>
    </row>
    <row r="671752" spans="3:3" x14ac:dyDescent="0.25">
      <c r="C671752" s="10" t="s">
        <v>219</v>
      </c>
    </row>
    <row r="671753" spans="3:3" x14ac:dyDescent="0.25">
      <c r="C671753" s="10" t="s">
        <v>220</v>
      </c>
    </row>
    <row r="671754" spans="3:3" x14ac:dyDescent="0.25">
      <c r="C671754" s="10" t="s">
        <v>221</v>
      </c>
    </row>
    <row r="671755" spans="3:3" x14ac:dyDescent="0.25">
      <c r="C671755" s="10" t="s">
        <v>222</v>
      </c>
    </row>
    <row r="671756" spans="3:3" x14ac:dyDescent="0.25">
      <c r="C671756" s="10" t="s">
        <v>183</v>
      </c>
    </row>
    <row r="671757" spans="3:3" ht="30" x14ac:dyDescent="0.25">
      <c r="C671757" s="10" t="s">
        <v>223</v>
      </c>
    </row>
    <row r="671758" spans="3:3" x14ac:dyDescent="0.25">
      <c r="C671758" s="10" t="s">
        <v>224</v>
      </c>
    </row>
    <row r="671759" spans="3:3" x14ac:dyDescent="0.25">
      <c r="C671759" s="10" t="s">
        <v>225</v>
      </c>
    </row>
    <row r="671760" spans="3:3" x14ac:dyDescent="0.25">
      <c r="C671760" s="10" t="s">
        <v>226</v>
      </c>
    </row>
    <row r="671761" spans="3:3" x14ac:dyDescent="0.25">
      <c r="C671761" s="10" t="s">
        <v>227</v>
      </c>
    </row>
    <row r="671762" spans="3:3" x14ac:dyDescent="0.25">
      <c r="C671762" s="10" t="s">
        <v>228</v>
      </c>
    </row>
    <row r="671763" spans="3:3" x14ac:dyDescent="0.25">
      <c r="C671763" s="10" t="s">
        <v>229</v>
      </c>
    </row>
    <row r="671764" spans="3:3" x14ac:dyDescent="0.25">
      <c r="C671764" s="12">
        <v>0.05</v>
      </c>
    </row>
    <row r="671765" spans="3:3" x14ac:dyDescent="0.25">
      <c r="C671765" s="10" t="s">
        <v>230</v>
      </c>
    </row>
    <row r="671766" spans="3:3" x14ac:dyDescent="0.25">
      <c r="C671766" s="10" t="s">
        <v>231</v>
      </c>
    </row>
    <row r="671767" spans="3:3" x14ac:dyDescent="0.25">
      <c r="C671767" s="10">
        <v>16</v>
      </c>
    </row>
    <row r="671768" spans="3:3" x14ac:dyDescent="0.25">
      <c r="C671768" s="10">
        <v>12</v>
      </c>
    </row>
    <row r="671769" spans="3:3" x14ac:dyDescent="0.25">
      <c r="C671769" s="10">
        <v>14</v>
      </c>
    </row>
    <row r="671770" spans="3:3" x14ac:dyDescent="0.25">
      <c r="C671770" s="10">
        <v>12</v>
      </c>
    </row>
    <row r="671771" spans="3:3" x14ac:dyDescent="0.25">
      <c r="C671771" s="10">
        <v>8</v>
      </c>
    </row>
    <row r="671772" spans="3:3" x14ac:dyDescent="0.25">
      <c r="C671772" s="10">
        <v>2</v>
      </c>
    </row>
    <row r="671773" spans="3:3" x14ac:dyDescent="0.25">
      <c r="C671773" s="10">
        <v>18</v>
      </c>
    </row>
    <row r="671774" spans="3:3" x14ac:dyDescent="0.25">
      <c r="C671774" s="10">
        <v>17</v>
      </c>
    </row>
    <row r="671775" spans="3:3" x14ac:dyDescent="0.25">
      <c r="C671775" s="10">
        <v>3</v>
      </c>
    </row>
    <row r="671776" spans="3:3" x14ac:dyDescent="0.25">
      <c r="C671776" s="10">
        <v>2</v>
      </c>
    </row>
    <row r="671777" spans="3:3" x14ac:dyDescent="0.25">
      <c r="C671777" s="10">
        <v>9</v>
      </c>
    </row>
    <row r="671778" spans="3:3" x14ac:dyDescent="0.25">
      <c r="C671778" s="10">
        <v>9</v>
      </c>
    </row>
    <row r="671779" spans="3:3" x14ac:dyDescent="0.25">
      <c r="C671779" s="10">
        <v>7</v>
      </c>
    </row>
    <row r="671780" spans="3:3" x14ac:dyDescent="0.25">
      <c r="C671780" s="10">
        <v>7</v>
      </c>
    </row>
    <row r="671781" spans="3:3" x14ac:dyDescent="0.25">
      <c r="C671781" s="10">
        <v>136</v>
      </c>
    </row>
    <row r="688129" spans="3:3" ht="30" x14ac:dyDescent="0.25">
      <c r="C688129" s="10" t="s">
        <v>214</v>
      </c>
    </row>
    <row r="688130" spans="3:3" x14ac:dyDescent="0.25">
      <c r="C688130" s="10" t="s">
        <v>215</v>
      </c>
    </row>
    <row r="688131" spans="3:3" x14ac:dyDescent="0.25">
      <c r="C688131" s="11">
        <v>42166</v>
      </c>
    </row>
    <row r="688132" spans="3:3" x14ac:dyDescent="0.25">
      <c r="C688132" s="10" t="s">
        <v>216</v>
      </c>
    </row>
    <row r="688133" spans="3:3" ht="30" x14ac:dyDescent="0.25">
      <c r="C688133" s="10" t="s">
        <v>217</v>
      </c>
    </row>
    <row r="688134" spans="3:3" x14ac:dyDescent="0.25">
      <c r="C688134" s="10" t="s">
        <v>218</v>
      </c>
    </row>
    <row r="688135" spans="3:3" x14ac:dyDescent="0.25">
      <c r="C688135" s="10" t="s">
        <v>218</v>
      </c>
    </row>
    <row r="688136" spans="3:3" x14ac:dyDescent="0.25">
      <c r="C688136" s="10" t="s">
        <v>219</v>
      </c>
    </row>
    <row r="688137" spans="3:3" x14ac:dyDescent="0.25">
      <c r="C688137" s="10" t="s">
        <v>220</v>
      </c>
    </row>
    <row r="688138" spans="3:3" x14ac:dyDescent="0.25">
      <c r="C688138" s="10" t="s">
        <v>221</v>
      </c>
    </row>
    <row r="688139" spans="3:3" x14ac:dyDescent="0.25">
      <c r="C688139" s="10" t="s">
        <v>222</v>
      </c>
    </row>
    <row r="688140" spans="3:3" x14ac:dyDescent="0.25">
      <c r="C688140" s="10" t="s">
        <v>183</v>
      </c>
    </row>
    <row r="688141" spans="3:3" ht="30" x14ac:dyDescent="0.25">
      <c r="C688141" s="10" t="s">
        <v>223</v>
      </c>
    </row>
    <row r="688142" spans="3:3" x14ac:dyDescent="0.25">
      <c r="C688142" s="10" t="s">
        <v>224</v>
      </c>
    </row>
    <row r="688143" spans="3:3" x14ac:dyDescent="0.25">
      <c r="C688143" s="10" t="s">
        <v>225</v>
      </c>
    </row>
    <row r="688144" spans="3:3" x14ac:dyDescent="0.25">
      <c r="C688144" s="10" t="s">
        <v>226</v>
      </c>
    </row>
    <row r="688145" spans="3:3" x14ac:dyDescent="0.25">
      <c r="C688145" s="10" t="s">
        <v>227</v>
      </c>
    </row>
    <row r="688146" spans="3:3" x14ac:dyDescent="0.25">
      <c r="C688146" s="10" t="s">
        <v>228</v>
      </c>
    </row>
    <row r="688147" spans="3:3" x14ac:dyDescent="0.25">
      <c r="C688147" s="10" t="s">
        <v>229</v>
      </c>
    </row>
    <row r="688148" spans="3:3" x14ac:dyDescent="0.25">
      <c r="C688148" s="12">
        <v>0.05</v>
      </c>
    </row>
    <row r="688149" spans="3:3" x14ac:dyDescent="0.25">
      <c r="C688149" s="10" t="s">
        <v>230</v>
      </c>
    </row>
    <row r="688150" spans="3:3" x14ac:dyDescent="0.25">
      <c r="C688150" s="10" t="s">
        <v>231</v>
      </c>
    </row>
    <row r="688151" spans="3:3" x14ac:dyDescent="0.25">
      <c r="C688151" s="10">
        <v>16</v>
      </c>
    </row>
    <row r="688152" spans="3:3" x14ac:dyDescent="0.25">
      <c r="C688152" s="10">
        <v>12</v>
      </c>
    </row>
    <row r="688153" spans="3:3" x14ac:dyDescent="0.25">
      <c r="C688153" s="10">
        <v>14</v>
      </c>
    </row>
    <row r="688154" spans="3:3" x14ac:dyDescent="0.25">
      <c r="C688154" s="10">
        <v>12</v>
      </c>
    </row>
    <row r="688155" spans="3:3" x14ac:dyDescent="0.25">
      <c r="C688155" s="10">
        <v>8</v>
      </c>
    </row>
    <row r="688156" spans="3:3" x14ac:dyDescent="0.25">
      <c r="C688156" s="10">
        <v>2</v>
      </c>
    </row>
    <row r="688157" spans="3:3" x14ac:dyDescent="0.25">
      <c r="C688157" s="10">
        <v>18</v>
      </c>
    </row>
    <row r="688158" spans="3:3" x14ac:dyDescent="0.25">
      <c r="C688158" s="10">
        <v>17</v>
      </c>
    </row>
    <row r="688159" spans="3:3" x14ac:dyDescent="0.25">
      <c r="C688159" s="10">
        <v>3</v>
      </c>
    </row>
    <row r="688160" spans="3:3" x14ac:dyDescent="0.25">
      <c r="C688160" s="10">
        <v>2</v>
      </c>
    </row>
    <row r="688161" spans="3:3" x14ac:dyDescent="0.25">
      <c r="C688161" s="10">
        <v>9</v>
      </c>
    </row>
    <row r="688162" spans="3:3" x14ac:dyDescent="0.25">
      <c r="C688162" s="10">
        <v>9</v>
      </c>
    </row>
    <row r="688163" spans="3:3" x14ac:dyDescent="0.25">
      <c r="C688163" s="10">
        <v>7</v>
      </c>
    </row>
    <row r="688164" spans="3:3" x14ac:dyDescent="0.25">
      <c r="C688164" s="10">
        <v>7</v>
      </c>
    </row>
    <row r="688165" spans="3:3" x14ac:dyDescent="0.25">
      <c r="C688165" s="10">
        <v>136</v>
      </c>
    </row>
    <row r="704513" spans="3:3" ht="30" x14ac:dyDescent="0.25">
      <c r="C704513" s="10" t="s">
        <v>214</v>
      </c>
    </row>
    <row r="704514" spans="3:3" x14ac:dyDescent="0.25">
      <c r="C704514" s="10" t="s">
        <v>215</v>
      </c>
    </row>
    <row r="704515" spans="3:3" x14ac:dyDescent="0.25">
      <c r="C704515" s="11">
        <v>42166</v>
      </c>
    </row>
    <row r="704516" spans="3:3" x14ac:dyDescent="0.25">
      <c r="C704516" s="10" t="s">
        <v>216</v>
      </c>
    </row>
    <row r="704517" spans="3:3" ht="30" x14ac:dyDescent="0.25">
      <c r="C704517" s="10" t="s">
        <v>217</v>
      </c>
    </row>
    <row r="704518" spans="3:3" x14ac:dyDescent="0.25">
      <c r="C704518" s="10" t="s">
        <v>218</v>
      </c>
    </row>
    <row r="704519" spans="3:3" x14ac:dyDescent="0.25">
      <c r="C704519" s="10" t="s">
        <v>218</v>
      </c>
    </row>
    <row r="704520" spans="3:3" x14ac:dyDescent="0.25">
      <c r="C704520" s="10" t="s">
        <v>219</v>
      </c>
    </row>
    <row r="704521" spans="3:3" x14ac:dyDescent="0.25">
      <c r="C704521" s="10" t="s">
        <v>220</v>
      </c>
    </row>
    <row r="704522" spans="3:3" x14ac:dyDescent="0.25">
      <c r="C704522" s="10" t="s">
        <v>221</v>
      </c>
    </row>
    <row r="704523" spans="3:3" x14ac:dyDescent="0.25">
      <c r="C704523" s="10" t="s">
        <v>222</v>
      </c>
    </row>
    <row r="704524" spans="3:3" x14ac:dyDescent="0.25">
      <c r="C704524" s="10" t="s">
        <v>183</v>
      </c>
    </row>
    <row r="704525" spans="3:3" ht="30" x14ac:dyDescent="0.25">
      <c r="C704525" s="10" t="s">
        <v>223</v>
      </c>
    </row>
    <row r="704526" spans="3:3" x14ac:dyDescent="0.25">
      <c r="C704526" s="10" t="s">
        <v>224</v>
      </c>
    </row>
    <row r="704527" spans="3:3" x14ac:dyDescent="0.25">
      <c r="C704527" s="10" t="s">
        <v>225</v>
      </c>
    </row>
    <row r="704528" spans="3:3" x14ac:dyDescent="0.25">
      <c r="C704528" s="10" t="s">
        <v>226</v>
      </c>
    </row>
    <row r="704529" spans="3:3" x14ac:dyDescent="0.25">
      <c r="C704529" s="10" t="s">
        <v>227</v>
      </c>
    </row>
    <row r="704530" spans="3:3" x14ac:dyDescent="0.25">
      <c r="C704530" s="10" t="s">
        <v>228</v>
      </c>
    </row>
    <row r="704531" spans="3:3" x14ac:dyDescent="0.25">
      <c r="C704531" s="10" t="s">
        <v>229</v>
      </c>
    </row>
    <row r="704532" spans="3:3" x14ac:dyDescent="0.25">
      <c r="C704532" s="12">
        <v>0.05</v>
      </c>
    </row>
    <row r="704533" spans="3:3" x14ac:dyDescent="0.25">
      <c r="C704533" s="10" t="s">
        <v>230</v>
      </c>
    </row>
    <row r="704534" spans="3:3" x14ac:dyDescent="0.25">
      <c r="C704534" s="10" t="s">
        <v>231</v>
      </c>
    </row>
    <row r="704535" spans="3:3" x14ac:dyDescent="0.25">
      <c r="C704535" s="10">
        <v>16</v>
      </c>
    </row>
    <row r="704536" spans="3:3" x14ac:dyDescent="0.25">
      <c r="C704536" s="10">
        <v>12</v>
      </c>
    </row>
    <row r="704537" spans="3:3" x14ac:dyDescent="0.25">
      <c r="C704537" s="10">
        <v>14</v>
      </c>
    </row>
    <row r="704538" spans="3:3" x14ac:dyDescent="0.25">
      <c r="C704538" s="10">
        <v>12</v>
      </c>
    </row>
    <row r="704539" spans="3:3" x14ac:dyDescent="0.25">
      <c r="C704539" s="10">
        <v>8</v>
      </c>
    </row>
    <row r="704540" spans="3:3" x14ac:dyDescent="0.25">
      <c r="C704540" s="10">
        <v>2</v>
      </c>
    </row>
    <row r="704541" spans="3:3" x14ac:dyDescent="0.25">
      <c r="C704541" s="10">
        <v>18</v>
      </c>
    </row>
    <row r="704542" spans="3:3" x14ac:dyDescent="0.25">
      <c r="C704542" s="10">
        <v>17</v>
      </c>
    </row>
    <row r="704543" spans="3:3" x14ac:dyDescent="0.25">
      <c r="C704543" s="10">
        <v>3</v>
      </c>
    </row>
    <row r="704544" spans="3:3" x14ac:dyDescent="0.25">
      <c r="C704544" s="10">
        <v>2</v>
      </c>
    </row>
    <row r="704545" spans="3:3" x14ac:dyDescent="0.25">
      <c r="C704545" s="10">
        <v>9</v>
      </c>
    </row>
    <row r="704546" spans="3:3" x14ac:dyDescent="0.25">
      <c r="C704546" s="10">
        <v>9</v>
      </c>
    </row>
    <row r="704547" spans="3:3" x14ac:dyDescent="0.25">
      <c r="C704547" s="10">
        <v>7</v>
      </c>
    </row>
    <row r="704548" spans="3:3" x14ac:dyDescent="0.25">
      <c r="C704548" s="10">
        <v>7</v>
      </c>
    </row>
    <row r="704549" spans="3:3" x14ac:dyDescent="0.25">
      <c r="C704549" s="10">
        <v>136</v>
      </c>
    </row>
    <row r="720897" spans="3:3" ht="30" x14ac:dyDescent="0.25">
      <c r="C720897" s="10" t="s">
        <v>214</v>
      </c>
    </row>
    <row r="720898" spans="3:3" x14ac:dyDescent="0.25">
      <c r="C720898" s="10" t="s">
        <v>215</v>
      </c>
    </row>
    <row r="720899" spans="3:3" x14ac:dyDescent="0.25">
      <c r="C720899" s="11">
        <v>42166</v>
      </c>
    </row>
    <row r="720900" spans="3:3" x14ac:dyDescent="0.25">
      <c r="C720900" s="10" t="s">
        <v>216</v>
      </c>
    </row>
    <row r="720901" spans="3:3" ht="30" x14ac:dyDescent="0.25">
      <c r="C720901" s="10" t="s">
        <v>217</v>
      </c>
    </row>
    <row r="720902" spans="3:3" x14ac:dyDescent="0.25">
      <c r="C720902" s="10" t="s">
        <v>218</v>
      </c>
    </row>
    <row r="720903" spans="3:3" x14ac:dyDescent="0.25">
      <c r="C720903" s="10" t="s">
        <v>218</v>
      </c>
    </row>
    <row r="720904" spans="3:3" x14ac:dyDescent="0.25">
      <c r="C720904" s="10" t="s">
        <v>219</v>
      </c>
    </row>
    <row r="720905" spans="3:3" x14ac:dyDescent="0.25">
      <c r="C720905" s="10" t="s">
        <v>220</v>
      </c>
    </row>
    <row r="720906" spans="3:3" x14ac:dyDescent="0.25">
      <c r="C720906" s="10" t="s">
        <v>221</v>
      </c>
    </row>
    <row r="720907" spans="3:3" x14ac:dyDescent="0.25">
      <c r="C720907" s="10" t="s">
        <v>222</v>
      </c>
    </row>
    <row r="720908" spans="3:3" x14ac:dyDescent="0.25">
      <c r="C720908" s="10" t="s">
        <v>183</v>
      </c>
    </row>
    <row r="720909" spans="3:3" ht="30" x14ac:dyDescent="0.25">
      <c r="C720909" s="10" t="s">
        <v>223</v>
      </c>
    </row>
    <row r="720910" spans="3:3" x14ac:dyDescent="0.25">
      <c r="C720910" s="10" t="s">
        <v>224</v>
      </c>
    </row>
    <row r="720911" spans="3:3" x14ac:dyDescent="0.25">
      <c r="C720911" s="10" t="s">
        <v>225</v>
      </c>
    </row>
    <row r="720912" spans="3:3" x14ac:dyDescent="0.25">
      <c r="C720912" s="10" t="s">
        <v>226</v>
      </c>
    </row>
    <row r="720913" spans="3:3" x14ac:dyDescent="0.25">
      <c r="C720913" s="10" t="s">
        <v>227</v>
      </c>
    </row>
    <row r="720914" spans="3:3" x14ac:dyDescent="0.25">
      <c r="C720914" s="10" t="s">
        <v>228</v>
      </c>
    </row>
    <row r="720915" spans="3:3" x14ac:dyDescent="0.25">
      <c r="C720915" s="10" t="s">
        <v>229</v>
      </c>
    </row>
    <row r="720916" spans="3:3" x14ac:dyDescent="0.25">
      <c r="C720916" s="12">
        <v>0.05</v>
      </c>
    </row>
    <row r="720917" spans="3:3" x14ac:dyDescent="0.25">
      <c r="C720917" s="10" t="s">
        <v>230</v>
      </c>
    </row>
    <row r="720918" spans="3:3" x14ac:dyDescent="0.25">
      <c r="C720918" s="10" t="s">
        <v>231</v>
      </c>
    </row>
    <row r="720919" spans="3:3" x14ac:dyDescent="0.25">
      <c r="C720919" s="10">
        <v>16</v>
      </c>
    </row>
    <row r="720920" spans="3:3" x14ac:dyDescent="0.25">
      <c r="C720920" s="10">
        <v>12</v>
      </c>
    </row>
    <row r="720921" spans="3:3" x14ac:dyDescent="0.25">
      <c r="C720921" s="10">
        <v>14</v>
      </c>
    </row>
    <row r="720922" spans="3:3" x14ac:dyDescent="0.25">
      <c r="C720922" s="10">
        <v>12</v>
      </c>
    </row>
    <row r="720923" spans="3:3" x14ac:dyDescent="0.25">
      <c r="C720923" s="10">
        <v>8</v>
      </c>
    </row>
    <row r="720924" spans="3:3" x14ac:dyDescent="0.25">
      <c r="C720924" s="10">
        <v>2</v>
      </c>
    </row>
    <row r="720925" spans="3:3" x14ac:dyDescent="0.25">
      <c r="C720925" s="10">
        <v>18</v>
      </c>
    </row>
    <row r="720926" spans="3:3" x14ac:dyDescent="0.25">
      <c r="C720926" s="10">
        <v>17</v>
      </c>
    </row>
    <row r="720927" spans="3:3" x14ac:dyDescent="0.25">
      <c r="C720927" s="10">
        <v>3</v>
      </c>
    </row>
    <row r="720928" spans="3:3" x14ac:dyDescent="0.25">
      <c r="C720928" s="10">
        <v>2</v>
      </c>
    </row>
    <row r="720929" spans="3:3" x14ac:dyDescent="0.25">
      <c r="C720929" s="10">
        <v>9</v>
      </c>
    </row>
    <row r="720930" spans="3:3" x14ac:dyDescent="0.25">
      <c r="C720930" s="10">
        <v>9</v>
      </c>
    </row>
    <row r="720931" spans="3:3" x14ac:dyDescent="0.25">
      <c r="C720931" s="10">
        <v>7</v>
      </c>
    </row>
    <row r="720932" spans="3:3" x14ac:dyDescent="0.25">
      <c r="C720932" s="10">
        <v>7</v>
      </c>
    </row>
    <row r="720933" spans="3:3" x14ac:dyDescent="0.25">
      <c r="C720933" s="10">
        <v>136</v>
      </c>
    </row>
    <row r="737281" spans="3:3" ht="30" x14ac:dyDescent="0.25">
      <c r="C737281" s="10" t="s">
        <v>214</v>
      </c>
    </row>
    <row r="737282" spans="3:3" x14ac:dyDescent="0.25">
      <c r="C737282" s="10" t="s">
        <v>215</v>
      </c>
    </row>
    <row r="737283" spans="3:3" x14ac:dyDescent="0.25">
      <c r="C737283" s="11">
        <v>42166</v>
      </c>
    </row>
    <row r="737284" spans="3:3" x14ac:dyDescent="0.25">
      <c r="C737284" s="10" t="s">
        <v>216</v>
      </c>
    </row>
    <row r="737285" spans="3:3" ht="30" x14ac:dyDescent="0.25">
      <c r="C737285" s="10" t="s">
        <v>217</v>
      </c>
    </row>
    <row r="737286" spans="3:3" x14ac:dyDescent="0.25">
      <c r="C737286" s="10" t="s">
        <v>218</v>
      </c>
    </row>
    <row r="737287" spans="3:3" x14ac:dyDescent="0.25">
      <c r="C737287" s="10" t="s">
        <v>218</v>
      </c>
    </row>
    <row r="737288" spans="3:3" x14ac:dyDescent="0.25">
      <c r="C737288" s="10" t="s">
        <v>219</v>
      </c>
    </row>
    <row r="737289" spans="3:3" x14ac:dyDescent="0.25">
      <c r="C737289" s="10" t="s">
        <v>220</v>
      </c>
    </row>
    <row r="737290" spans="3:3" x14ac:dyDescent="0.25">
      <c r="C737290" s="10" t="s">
        <v>221</v>
      </c>
    </row>
    <row r="737291" spans="3:3" x14ac:dyDescent="0.25">
      <c r="C737291" s="10" t="s">
        <v>222</v>
      </c>
    </row>
    <row r="737292" spans="3:3" x14ac:dyDescent="0.25">
      <c r="C737292" s="10" t="s">
        <v>183</v>
      </c>
    </row>
    <row r="737293" spans="3:3" ht="30" x14ac:dyDescent="0.25">
      <c r="C737293" s="10" t="s">
        <v>223</v>
      </c>
    </row>
    <row r="737294" spans="3:3" x14ac:dyDescent="0.25">
      <c r="C737294" s="10" t="s">
        <v>224</v>
      </c>
    </row>
    <row r="737295" spans="3:3" x14ac:dyDescent="0.25">
      <c r="C737295" s="10" t="s">
        <v>225</v>
      </c>
    </row>
    <row r="737296" spans="3:3" x14ac:dyDescent="0.25">
      <c r="C737296" s="10" t="s">
        <v>226</v>
      </c>
    </row>
    <row r="737297" spans="3:3" x14ac:dyDescent="0.25">
      <c r="C737297" s="10" t="s">
        <v>227</v>
      </c>
    </row>
    <row r="737298" spans="3:3" x14ac:dyDescent="0.25">
      <c r="C737298" s="10" t="s">
        <v>228</v>
      </c>
    </row>
    <row r="737299" spans="3:3" x14ac:dyDescent="0.25">
      <c r="C737299" s="10" t="s">
        <v>229</v>
      </c>
    </row>
    <row r="737300" spans="3:3" x14ac:dyDescent="0.25">
      <c r="C737300" s="12">
        <v>0.05</v>
      </c>
    </row>
    <row r="737301" spans="3:3" x14ac:dyDescent="0.25">
      <c r="C737301" s="10" t="s">
        <v>230</v>
      </c>
    </row>
    <row r="737302" spans="3:3" x14ac:dyDescent="0.25">
      <c r="C737302" s="10" t="s">
        <v>231</v>
      </c>
    </row>
    <row r="737303" spans="3:3" x14ac:dyDescent="0.25">
      <c r="C737303" s="10">
        <v>16</v>
      </c>
    </row>
    <row r="737304" spans="3:3" x14ac:dyDescent="0.25">
      <c r="C737304" s="10">
        <v>12</v>
      </c>
    </row>
    <row r="737305" spans="3:3" x14ac:dyDescent="0.25">
      <c r="C737305" s="10">
        <v>14</v>
      </c>
    </row>
    <row r="737306" spans="3:3" x14ac:dyDescent="0.25">
      <c r="C737306" s="10">
        <v>12</v>
      </c>
    </row>
    <row r="737307" spans="3:3" x14ac:dyDescent="0.25">
      <c r="C737307" s="10">
        <v>8</v>
      </c>
    </row>
    <row r="737308" spans="3:3" x14ac:dyDescent="0.25">
      <c r="C737308" s="10">
        <v>2</v>
      </c>
    </row>
    <row r="737309" spans="3:3" x14ac:dyDescent="0.25">
      <c r="C737309" s="10">
        <v>18</v>
      </c>
    </row>
    <row r="737310" spans="3:3" x14ac:dyDescent="0.25">
      <c r="C737310" s="10">
        <v>17</v>
      </c>
    </row>
    <row r="737311" spans="3:3" x14ac:dyDescent="0.25">
      <c r="C737311" s="10">
        <v>3</v>
      </c>
    </row>
    <row r="737312" spans="3:3" x14ac:dyDescent="0.25">
      <c r="C737312" s="10">
        <v>2</v>
      </c>
    </row>
    <row r="737313" spans="3:3" x14ac:dyDescent="0.25">
      <c r="C737313" s="10">
        <v>9</v>
      </c>
    </row>
    <row r="737314" spans="3:3" x14ac:dyDescent="0.25">
      <c r="C737314" s="10">
        <v>9</v>
      </c>
    </row>
    <row r="737315" spans="3:3" x14ac:dyDescent="0.25">
      <c r="C737315" s="10">
        <v>7</v>
      </c>
    </row>
    <row r="737316" spans="3:3" x14ac:dyDescent="0.25">
      <c r="C737316" s="10">
        <v>7</v>
      </c>
    </row>
    <row r="737317" spans="3:3" x14ac:dyDescent="0.25">
      <c r="C737317" s="10">
        <v>136</v>
      </c>
    </row>
    <row r="753665" spans="3:3" ht="30" x14ac:dyDescent="0.25">
      <c r="C753665" s="10" t="s">
        <v>214</v>
      </c>
    </row>
    <row r="753666" spans="3:3" x14ac:dyDescent="0.25">
      <c r="C753666" s="10" t="s">
        <v>215</v>
      </c>
    </row>
    <row r="753667" spans="3:3" x14ac:dyDescent="0.25">
      <c r="C753667" s="11">
        <v>42166</v>
      </c>
    </row>
    <row r="753668" spans="3:3" x14ac:dyDescent="0.25">
      <c r="C753668" s="10" t="s">
        <v>216</v>
      </c>
    </row>
    <row r="753669" spans="3:3" ht="30" x14ac:dyDescent="0.25">
      <c r="C753669" s="10" t="s">
        <v>217</v>
      </c>
    </row>
    <row r="753670" spans="3:3" x14ac:dyDescent="0.25">
      <c r="C753670" s="10" t="s">
        <v>218</v>
      </c>
    </row>
    <row r="753671" spans="3:3" x14ac:dyDescent="0.25">
      <c r="C753671" s="10" t="s">
        <v>218</v>
      </c>
    </row>
    <row r="753672" spans="3:3" x14ac:dyDescent="0.25">
      <c r="C753672" s="10" t="s">
        <v>219</v>
      </c>
    </row>
    <row r="753673" spans="3:3" x14ac:dyDescent="0.25">
      <c r="C753673" s="10" t="s">
        <v>220</v>
      </c>
    </row>
    <row r="753674" spans="3:3" x14ac:dyDescent="0.25">
      <c r="C753674" s="10" t="s">
        <v>221</v>
      </c>
    </row>
    <row r="753675" spans="3:3" x14ac:dyDescent="0.25">
      <c r="C753675" s="10" t="s">
        <v>222</v>
      </c>
    </row>
    <row r="753676" spans="3:3" x14ac:dyDescent="0.25">
      <c r="C753676" s="10" t="s">
        <v>183</v>
      </c>
    </row>
    <row r="753677" spans="3:3" ht="30" x14ac:dyDescent="0.25">
      <c r="C753677" s="10" t="s">
        <v>223</v>
      </c>
    </row>
    <row r="753678" spans="3:3" x14ac:dyDescent="0.25">
      <c r="C753678" s="10" t="s">
        <v>224</v>
      </c>
    </row>
    <row r="753679" spans="3:3" x14ac:dyDescent="0.25">
      <c r="C753679" s="10" t="s">
        <v>225</v>
      </c>
    </row>
    <row r="753680" spans="3:3" x14ac:dyDescent="0.25">
      <c r="C753680" s="10" t="s">
        <v>226</v>
      </c>
    </row>
    <row r="753681" spans="3:3" x14ac:dyDescent="0.25">
      <c r="C753681" s="10" t="s">
        <v>227</v>
      </c>
    </row>
    <row r="753682" spans="3:3" x14ac:dyDescent="0.25">
      <c r="C753682" s="10" t="s">
        <v>228</v>
      </c>
    </row>
    <row r="753683" spans="3:3" x14ac:dyDescent="0.25">
      <c r="C753683" s="10" t="s">
        <v>229</v>
      </c>
    </row>
    <row r="753684" spans="3:3" x14ac:dyDescent="0.25">
      <c r="C753684" s="12">
        <v>0.05</v>
      </c>
    </row>
    <row r="753685" spans="3:3" x14ac:dyDescent="0.25">
      <c r="C753685" s="10" t="s">
        <v>230</v>
      </c>
    </row>
    <row r="753686" spans="3:3" x14ac:dyDescent="0.25">
      <c r="C753686" s="10" t="s">
        <v>231</v>
      </c>
    </row>
    <row r="753687" spans="3:3" x14ac:dyDescent="0.25">
      <c r="C753687" s="10">
        <v>16</v>
      </c>
    </row>
    <row r="753688" spans="3:3" x14ac:dyDescent="0.25">
      <c r="C753688" s="10">
        <v>12</v>
      </c>
    </row>
    <row r="753689" spans="3:3" x14ac:dyDescent="0.25">
      <c r="C753689" s="10">
        <v>14</v>
      </c>
    </row>
    <row r="753690" spans="3:3" x14ac:dyDescent="0.25">
      <c r="C753690" s="10">
        <v>12</v>
      </c>
    </row>
    <row r="753691" spans="3:3" x14ac:dyDescent="0.25">
      <c r="C753691" s="10">
        <v>8</v>
      </c>
    </row>
    <row r="753692" spans="3:3" x14ac:dyDescent="0.25">
      <c r="C753692" s="10">
        <v>2</v>
      </c>
    </row>
    <row r="753693" spans="3:3" x14ac:dyDescent="0.25">
      <c r="C753693" s="10">
        <v>18</v>
      </c>
    </row>
    <row r="753694" spans="3:3" x14ac:dyDescent="0.25">
      <c r="C753694" s="10">
        <v>17</v>
      </c>
    </row>
    <row r="753695" spans="3:3" x14ac:dyDescent="0.25">
      <c r="C753695" s="10">
        <v>3</v>
      </c>
    </row>
    <row r="753696" spans="3:3" x14ac:dyDescent="0.25">
      <c r="C753696" s="10">
        <v>2</v>
      </c>
    </row>
    <row r="753697" spans="3:3" x14ac:dyDescent="0.25">
      <c r="C753697" s="10">
        <v>9</v>
      </c>
    </row>
    <row r="753698" spans="3:3" x14ac:dyDescent="0.25">
      <c r="C753698" s="10">
        <v>9</v>
      </c>
    </row>
    <row r="753699" spans="3:3" x14ac:dyDescent="0.25">
      <c r="C753699" s="10">
        <v>7</v>
      </c>
    </row>
    <row r="753700" spans="3:3" x14ac:dyDescent="0.25">
      <c r="C753700" s="10">
        <v>7</v>
      </c>
    </row>
    <row r="753701" spans="3:3" x14ac:dyDescent="0.25">
      <c r="C753701" s="10">
        <v>136</v>
      </c>
    </row>
    <row r="770049" spans="3:3" ht="30" x14ac:dyDescent="0.25">
      <c r="C770049" s="10" t="s">
        <v>214</v>
      </c>
    </row>
    <row r="770050" spans="3:3" x14ac:dyDescent="0.25">
      <c r="C770050" s="10" t="s">
        <v>215</v>
      </c>
    </row>
    <row r="770051" spans="3:3" x14ac:dyDescent="0.25">
      <c r="C770051" s="11">
        <v>42166</v>
      </c>
    </row>
    <row r="770052" spans="3:3" x14ac:dyDescent="0.25">
      <c r="C770052" s="10" t="s">
        <v>216</v>
      </c>
    </row>
    <row r="770053" spans="3:3" ht="30" x14ac:dyDescent="0.25">
      <c r="C770053" s="10" t="s">
        <v>217</v>
      </c>
    </row>
    <row r="770054" spans="3:3" x14ac:dyDescent="0.25">
      <c r="C770054" s="10" t="s">
        <v>218</v>
      </c>
    </row>
    <row r="770055" spans="3:3" x14ac:dyDescent="0.25">
      <c r="C770055" s="10" t="s">
        <v>218</v>
      </c>
    </row>
    <row r="770056" spans="3:3" x14ac:dyDescent="0.25">
      <c r="C770056" s="10" t="s">
        <v>219</v>
      </c>
    </row>
    <row r="770057" spans="3:3" x14ac:dyDescent="0.25">
      <c r="C770057" s="10" t="s">
        <v>220</v>
      </c>
    </row>
    <row r="770058" spans="3:3" x14ac:dyDescent="0.25">
      <c r="C770058" s="10" t="s">
        <v>221</v>
      </c>
    </row>
    <row r="770059" spans="3:3" x14ac:dyDescent="0.25">
      <c r="C770059" s="10" t="s">
        <v>222</v>
      </c>
    </row>
    <row r="770060" spans="3:3" x14ac:dyDescent="0.25">
      <c r="C770060" s="10" t="s">
        <v>183</v>
      </c>
    </row>
    <row r="770061" spans="3:3" ht="30" x14ac:dyDescent="0.25">
      <c r="C770061" s="10" t="s">
        <v>223</v>
      </c>
    </row>
    <row r="770062" spans="3:3" x14ac:dyDescent="0.25">
      <c r="C770062" s="10" t="s">
        <v>224</v>
      </c>
    </row>
    <row r="770063" spans="3:3" x14ac:dyDescent="0.25">
      <c r="C770063" s="10" t="s">
        <v>225</v>
      </c>
    </row>
    <row r="770064" spans="3:3" x14ac:dyDescent="0.25">
      <c r="C770064" s="10" t="s">
        <v>226</v>
      </c>
    </row>
    <row r="770065" spans="3:3" x14ac:dyDescent="0.25">
      <c r="C770065" s="10" t="s">
        <v>227</v>
      </c>
    </row>
    <row r="770066" spans="3:3" x14ac:dyDescent="0.25">
      <c r="C770066" s="10" t="s">
        <v>228</v>
      </c>
    </row>
    <row r="770067" spans="3:3" x14ac:dyDescent="0.25">
      <c r="C770067" s="10" t="s">
        <v>229</v>
      </c>
    </row>
    <row r="770068" spans="3:3" x14ac:dyDescent="0.25">
      <c r="C770068" s="12">
        <v>0.05</v>
      </c>
    </row>
    <row r="770069" spans="3:3" x14ac:dyDescent="0.25">
      <c r="C770069" s="10" t="s">
        <v>230</v>
      </c>
    </row>
    <row r="770070" spans="3:3" x14ac:dyDescent="0.25">
      <c r="C770070" s="10" t="s">
        <v>231</v>
      </c>
    </row>
    <row r="770071" spans="3:3" x14ac:dyDescent="0.25">
      <c r="C770071" s="10">
        <v>16</v>
      </c>
    </row>
    <row r="770072" spans="3:3" x14ac:dyDescent="0.25">
      <c r="C770072" s="10">
        <v>12</v>
      </c>
    </row>
    <row r="770073" spans="3:3" x14ac:dyDescent="0.25">
      <c r="C770073" s="10">
        <v>14</v>
      </c>
    </row>
    <row r="770074" spans="3:3" x14ac:dyDescent="0.25">
      <c r="C770074" s="10">
        <v>12</v>
      </c>
    </row>
    <row r="770075" spans="3:3" x14ac:dyDescent="0.25">
      <c r="C770075" s="10">
        <v>8</v>
      </c>
    </row>
    <row r="770076" spans="3:3" x14ac:dyDescent="0.25">
      <c r="C770076" s="10">
        <v>2</v>
      </c>
    </row>
    <row r="770077" spans="3:3" x14ac:dyDescent="0.25">
      <c r="C770077" s="10">
        <v>18</v>
      </c>
    </row>
    <row r="770078" spans="3:3" x14ac:dyDescent="0.25">
      <c r="C770078" s="10">
        <v>17</v>
      </c>
    </row>
    <row r="770079" spans="3:3" x14ac:dyDescent="0.25">
      <c r="C770079" s="10">
        <v>3</v>
      </c>
    </row>
    <row r="770080" spans="3:3" x14ac:dyDescent="0.25">
      <c r="C770080" s="10">
        <v>2</v>
      </c>
    </row>
    <row r="770081" spans="3:3" x14ac:dyDescent="0.25">
      <c r="C770081" s="10">
        <v>9</v>
      </c>
    </row>
    <row r="770082" spans="3:3" x14ac:dyDescent="0.25">
      <c r="C770082" s="10">
        <v>9</v>
      </c>
    </row>
    <row r="770083" spans="3:3" x14ac:dyDescent="0.25">
      <c r="C770083" s="10">
        <v>7</v>
      </c>
    </row>
    <row r="770084" spans="3:3" x14ac:dyDescent="0.25">
      <c r="C770084" s="10">
        <v>7</v>
      </c>
    </row>
    <row r="770085" spans="3:3" x14ac:dyDescent="0.25">
      <c r="C770085" s="10">
        <v>136</v>
      </c>
    </row>
    <row r="786433" spans="3:3" ht="30" x14ac:dyDescent="0.25">
      <c r="C786433" s="10" t="s">
        <v>214</v>
      </c>
    </row>
    <row r="786434" spans="3:3" x14ac:dyDescent="0.25">
      <c r="C786434" s="10" t="s">
        <v>215</v>
      </c>
    </row>
    <row r="786435" spans="3:3" x14ac:dyDescent="0.25">
      <c r="C786435" s="11">
        <v>42166</v>
      </c>
    </row>
    <row r="786436" spans="3:3" x14ac:dyDescent="0.25">
      <c r="C786436" s="10" t="s">
        <v>216</v>
      </c>
    </row>
    <row r="786437" spans="3:3" ht="30" x14ac:dyDescent="0.25">
      <c r="C786437" s="10" t="s">
        <v>217</v>
      </c>
    </row>
    <row r="786438" spans="3:3" x14ac:dyDescent="0.25">
      <c r="C786438" s="10" t="s">
        <v>218</v>
      </c>
    </row>
    <row r="786439" spans="3:3" x14ac:dyDescent="0.25">
      <c r="C786439" s="10" t="s">
        <v>218</v>
      </c>
    </row>
    <row r="786440" spans="3:3" x14ac:dyDescent="0.25">
      <c r="C786440" s="10" t="s">
        <v>219</v>
      </c>
    </row>
    <row r="786441" spans="3:3" x14ac:dyDescent="0.25">
      <c r="C786441" s="10" t="s">
        <v>220</v>
      </c>
    </row>
    <row r="786442" spans="3:3" x14ac:dyDescent="0.25">
      <c r="C786442" s="10" t="s">
        <v>221</v>
      </c>
    </row>
    <row r="786443" spans="3:3" x14ac:dyDescent="0.25">
      <c r="C786443" s="10" t="s">
        <v>222</v>
      </c>
    </row>
    <row r="786444" spans="3:3" x14ac:dyDescent="0.25">
      <c r="C786444" s="10" t="s">
        <v>183</v>
      </c>
    </row>
    <row r="786445" spans="3:3" ht="30" x14ac:dyDescent="0.25">
      <c r="C786445" s="10" t="s">
        <v>223</v>
      </c>
    </row>
    <row r="786446" spans="3:3" x14ac:dyDescent="0.25">
      <c r="C786446" s="10" t="s">
        <v>224</v>
      </c>
    </row>
    <row r="786447" spans="3:3" x14ac:dyDescent="0.25">
      <c r="C786447" s="10" t="s">
        <v>225</v>
      </c>
    </row>
    <row r="786448" spans="3:3" x14ac:dyDescent="0.25">
      <c r="C786448" s="10" t="s">
        <v>226</v>
      </c>
    </row>
    <row r="786449" spans="3:3" x14ac:dyDescent="0.25">
      <c r="C786449" s="10" t="s">
        <v>227</v>
      </c>
    </row>
    <row r="786450" spans="3:3" x14ac:dyDescent="0.25">
      <c r="C786450" s="10" t="s">
        <v>228</v>
      </c>
    </row>
    <row r="786451" spans="3:3" x14ac:dyDescent="0.25">
      <c r="C786451" s="10" t="s">
        <v>229</v>
      </c>
    </row>
    <row r="786452" spans="3:3" x14ac:dyDescent="0.25">
      <c r="C786452" s="12">
        <v>0.05</v>
      </c>
    </row>
    <row r="786453" spans="3:3" x14ac:dyDescent="0.25">
      <c r="C786453" s="10" t="s">
        <v>230</v>
      </c>
    </row>
    <row r="786454" spans="3:3" x14ac:dyDescent="0.25">
      <c r="C786454" s="10" t="s">
        <v>231</v>
      </c>
    </row>
    <row r="786455" spans="3:3" x14ac:dyDescent="0.25">
      <c r="C786455" s="10">
        <v>16</v>
      </c>
    </row>
    <row r="786456" spans="3:3" x14ac:dyDescent="0.25">
      <c r="C786456" s="10">
        <v>12</v>
      </c>
    </row>
    <row r="786457" spans="3:3" x14ac:dyDescent="0.25">
      <c r="C786457" s="10">
        <v>14</v>
      </c>
    </row>
    <row r="786458" spans="3:3" x14ac:dyDescent="0.25">
      <c r="C786458" s="10">
        <v>12</v>
      </c>
    </row>
    <row r="786459" spans="3:3" x14ac:dyDescent="0.25">
      <c r="C786459" s="10">
        <v>8</v>
      </c>
    </row>
    <row r="786460" spans="3:3" x14ac:dyDescent="0.25">
      <c r="C786460" s="10">
        <v>2</v>
      </c>
    </row>
    <row r="786461" spans="3:3" x14ac:dyDescent="0.25">
      <c r="C786461" s="10">
        <v>18</v>
      </c>
    </row>
    <row r="786462" spans="3:3" x14ac:dyDescent="0.25">
      <c r="C786462" s="10">
        <v>17</v>
      </c>
    </row>
    <row r="786463" spans="3:3" x14ac:dyDescent="0.25">
      <c r="C786463" s="10">
        <v>3</v>
      </c>
    </row>
    <row r="786464" spans="3:3" x14ac:dyDescent="0.25">
      <c r="C786464" s="10">
        <v>2</v>
      </c>
    </row>
    <row r="786465" spans="3:3" x14ac:dyDescent="0.25">
      <c r="C786465" s="10">
        <v>9</v>
      </c>
    </row>
    <row r="786466" spans="3:3" x14ac:dyDescent="0.25">
      <c r="C786466" s="10">
        <v>9</v>
      </c>
    </row>
    <row r="786467" spans="3:3" x14ac:dyDescent="0.25">
      <c r="C786467" s="10">
        <v>7</v>
      </c>
    </row>
    <row r="786468" spans="3:3" x14ac:dyDescent="0.25">
      <c r="C786468" s="10">
        <v>7</v>
      </c>
    </row>
    <row r="786469" spans="3:3" x14ac:dyDescent="0.25">
      <c r="C786469" s="10">
        <v>136</v>
      </c>
    </row>
    <row r="802817" spans="3:3" ht="30" x14ac:dyDescent="0.25">
      <c r="C802817" s="10" t="s">
        <v>214</v>
      </c>
    </row>
    <row r="802818" spans="3:3" x14ac:dyDescent="0.25">
      <c r="C802818" s="10" t="s">
        <v>215</v>
      </c>
    </row>
    <row r="802819" spans="3:3" x14ac:dyDescent="0.25">
      <c r="C802819" s="11">
        <v>42166</v>
      </c>
    </row>
    <row r="802820" spans="3:3" x14ac:dyDescent="0.25">
      <c r="C802820" s="10" t="s">
        <v>216</v>
      </c>
    </row>
    <row r="802821" spans="3:3" ht="30" x14ac:dyDescent="0.25">
      <c r="C802821" s="10" t="s">
        <v>217</v>
      </c>
    </row>
    <row r="802822" spans="3:3" x14ac:dyDescent="0.25">
      <c r="C802822" s="10" t="s">
        <v>218</v>
      </c>
    </row>
    <row r="802823" spans="3:3" x14ac:dyDescent="0.25">
      <c r="C802823" s="10" t="s">
        <v>218</v>
      </c>
    </row>
    <row r="802824" spans="3:3" x14ac:dyDescent="0.25">
      <c r="C802824" s="10" t="s">
        <v>219</v>
      </c>
    </row>
    <row r="802825" spans="3:3" x14ac:dyDescent="0.25">
      <c r="C802825" s="10" t="s">
        <v>220</v>
      </c>
    </row>
    <row r="802826" spans="3:3" x14ac:dyDescent="0.25">
      <c r="C802826" s="10" t="s">
        <v>221</v>
      </c>
    </row>
    <row r="802827" spans="3:3" x14ac:dyDescent="0.25">
      <c r="C802827" s="10" t="s">
        <v>222</v>
      </c>
    </row>
    <row r="802828" spans="3:3" x14ac:dyDescent="0.25">
      <c r="C802828" s="10" t="s">
        <v>183</v>
      </c>
    </row>
    <row r="802829" spans="3:3" ht="30" x14ac:dyDescent="0.25">
      <c r="C802829" s="10" t="s">
        <v>223</v>
      </c>
    </row>
    <row r="802830" spans="3:3" x14ac:dyDescent="0.25">
      <c r="C802830" s="10" t="s">
        <v>224</v>
      </c>
    </row>
    <row r="802831" spans="3:3" x14ac:dyDescent="0.25">
      <c r="C802831" s="10" t="s">
        <v>225</v>
      </c>
    </row>
    <row r="802832" spans="3:3" x14ac:dyDescent="0.25">
      <c r="C802832" s="10" t="s">
        <v>226</v>
      </c>
    </row>
    <row r="802833" spans="3:3" x14ac:dyDescent="0.25">
      <c r="C802833" s="10" t="s">
        <v>227</v>
      </c>
    </row>
    <row r="802834" spans="3:3" x14ac:dyDescent="0.25">
      <c r="C802834" s="10" t="s">
        <v>228</v>
      </c>
    </row>
    <row r="802835" spans="3:3" x14ac:dyDescent="0.25">
      <c r="C802835" s="10" t="s">
        <v>229</v>
      </c>
    </row>
    <row r="802836" spans="3:3" x14ac:dyDescent="0.25">
      <c r="C802836" s="12">
        <v>0.05</v>
      </c>
    </row>
    <row r="802837" spans="3:3" x14ac:dyDescent="0.25">
      <c r="C802837" s="10" t="s">
        <v>230</v>
      </c>
    </row>
    <row r="802838" spans="3:3" x14ac:dyDescent="0.25">
      <c r="C802838" s="10" t="s">
        <v>231</v>
      </c>
    </row>
    <row r="802839" spans="3:3" x14ac:dyDescent="0.25">
      <c r="C802839" s="10">
        <v>16</v>
      </c>
    </row>
    <row r="802840" spans="3:3" x14ac:dyDescent="0.25">
      <c r="C802840" s="10">
        <v>12</v>
      </c>
    </row>
    <row r="802841" spans="3:3" x14ac:dyDescent="0.25">
      <c r="C802841" s="10">
        <v>14</v>
      </c>
    </row>
    <row r="802842" spans="3:3" x14ac:dyDescent="0.25">
      <c r="C802842" s="10">
        <v>12</v>
      </c>
    </row>
    <row r="802843" spans="3:3" x14ac:dyDescent="0.25">
      <c r="C802843" s="10">
        <v>8</v>
      </c>
    </row>
    <row r="802844" spans="3:3" x14ac:dyDescent="0.25">
      <c r="C802844" s="10">
        <v>2</v>
      </c>
    </row>
    <row r="802845" spans="3:3" x14ac:dyDescent="0.25">
      <c r="C802845" s="10">
        <v>18</v>
      </c>
    </row>
    <row r="802846" spans="3:3" x14ac:dyDescent="0.25">
      <c r="C802846" s="10">
        <v>17</v>
      </c>
    </row>
    <row r="802847" spans="3:3" x14ac:dyDescent="0.25">
      <c r="C802847" s="10">
        <v>3</v>
      </c>
    </row>
    <row r="802848" spans="3:3" x14ac:dyDescent="0.25">
      <c r="C802848" s="10">
        <v>2</v>
      </c>
    </row>
    <row r="802849" spans="3:3" x14ac:dyDescent="0.25">
      <c r="C802849" s="10">
        <v>9</v>
      </c>
    </row>
    <row r="802850" spans="3:3" x14ac:dyDescent="0.25">
      <c r="C802850" s="10">
        <v>9</v>
      </c>
    </row>
    <row r="802851" spans="3:3" x14ac:dyDescent="0.25">
      <c r="C802851" s="10">
        <v>7</v>
      </c>
    </row>
    <row r="802852" spans="3:3" x14ac:dyDescent="0.25">
      <c r="C802852" s="10">
        <v>7</v>
      </c>
    </row>
    <row r="802853" spans="3:3" x14ac:dyDescent="0.25">
      <c r="C802853" s="10">
        <v>136</v>
      </c>
    </row>
    <row r="819201" spans="3:3" ht="30" x14ac:dyDescent="0.25">
      <c r="C819201" s="10" t="s">
        <v>214</v>
      </c>
    </row>
    <row r="819202" spans="3:3" x14ac:dyDescent="0.25">
      <c r="C819202" s="10" t="s">
        <v>215</v>
      </c>
    </row>
    <row r="819203" spans="3:3" x14ac:dyDescent="0.25">
      <c r="C819203" s="11">
        <v>42166</v>
      </c>
    </row>
    <row r="819204" spans="3:3" x14ac:dyDescent="0.25">
      <c r="C819204" s="10" t="s">
        <v>216</v>
      </c>
    </row>
    <row r="819205" spans="3:3" ht="30" x14ac:dyDescent="0.25">
      <c r="C819205" s="10" t="s">
        <v>217</v>
      </c>
    </row>
    <row r="819206" spans="3:3" x14ac:dyDescent="0.25">
      <c r="C819206" s="10" t="s">
        <v>218</v>
      </c>
    </row>
    <row r="819207" spans="3:3" x14ac:dyDescent="0.25">
      <c r="C819207" s="10" t="s">
        <v>218</v>
      </c>
    </row>
    <row r="819208" spans="3:3" x14ac:dyDescent="0.25">
      <c r="C819208" s="10" t="s">
        <v>219</v>
      </c>
    </row>
    <row r="819209" spans="3:3" x14ac:dyDescent="0.25">
      <c r="C819209" s="10" t="s">
        <v>220</v>
      </c>
    </row>
    <row r="819210" spans="3:3" x14ac:dyDescent="0.25">
      <c r="C819210" s="10" t="s">
        <v>221</v>
      </c>
    </row>
    <row r="819211" spans="3:3" x14ac:dyDescent="0.25">
      <c r="C819211" s="10" t="s">
        <v>222</v>
      </c>
    </row>
    <row r="819212" spans="3:3" x14ac:dyDescent="0.25">
      <c r="C819212" s="10" t="s">
        <v>183</v>
      </c>
    </row>
    <row r="819213" spans="3:3" ht="30" x14ac:dyDescent="0.25">
      <c r="C819213" s="10" t="s">
        <v>223</v>
      </c>
    </row>
    <row r="819214" spans="3:3" x14ac:dyDescent="0.25">
      <c r="C819214" s="10" t="s">
        <v>224</v>
      </c>
    </row>
    <row r="819215" spans="3:3" x14ac:dyDescent="0.25">
      <c r="C819215" s="10" t="s">
        <v>225</v>
      </c>
    </row>
    <row r="819216" spans="3:3" x14ac:dyDescent="0.25">
      <c r="C819216" s="10" t="s">
        <v>226</v>
      </c>
    </row>
    <row r="819217" spans="3:3" x14ac:dyDescent="0.25">
      <c r="C819217" s="10" t="s">
        <v>227</v>
      </c>
    </row>
    <row r="819218" spans="3:3" x14ac:dyDescent="0.25">
      <c r="C819218" s="10" t="s">
        <v>228</v>
      </c>
    </row>
    <row r="819219" spans="3:3" x14ac:dyDescent="0.25">
      <c r="C819219" s="10" t="s">
        <v>229</v>
      </c>
    </row>
    <row r="819220" spans="3:3" x14ac:dyDescent="0.25">
      <c r="C819220" s="12">
        <v>0.05</v>
      </c>
    </row>
    <row r="819221" spans="3:3" x14ac:dyDescent="0.25">
      <c r="C819221" s="10" t="s">
        <v>230</v>
      </c>
    </row>
    <row r="819222" spans="3:3" x14ac:dyDescent="0.25">
      <c r="C819222" s="10" t="s">
        <v>231</v>
      </c>
    </row>
    <row r="819223" spans="3:3" x14ac:dyDescent="0.25">
      <c r="C819223" s="10">
        <v>16</v>
      </c>
    </row>
    <row r="819224" spans="3:3" x14ac:dyDescent="0.25">
      <c r="C819224" s="10">
        <v>12</v>
      </c>
    </row>
    <row r="819225" spans="3:3" x14ac:dyDescent="0.25">
      <c r="C819225" s="10">
        <v>14</v>
      </c>
    </row>
    <row r="819226" spans="3:3" x14ac:dyDescent="0.25">
      <c r="C819226" s="10">
        <v>12</v>
      </c>
    </row>
    <row r="819227" spans="3:3" x14ac:dyDescent="0.25">
      <c r="C819227" s="10">
        <v>8</v>
      </c>
    </row>
    <row r="819228" spans="3:3" x14ac:dyDescent="0.25">
      <c r="C819228" s="10">
        <v>2</v>
      </c>
    </row>
    <row r="819229" spans="3:3" x14ac:dyDescent="0.25">
      <c r="C819229" s="10">
        <v>18</v>
      </c>
    </row>
    <row r="819230" spans="3:3" x14ac:dyDescent="0.25">
      <c r="C819230" s="10">
        <v>17</v>
      </c>
    </row>
    <row r="819231" spans="3:3" x14ac:dyDescent="0.25">
      <c r="C819231" s="10">
        <v>3</v>
      </c>
    </row>
    <row r="819232" spans="3:3" x14ac:dyDescent="0.25">
      <c r="C819232" s="10">
        <v>2</v>
      </c>
    </row>
    <row r="819233" spans="3:3" x14ac:dyDescent="0.25">
      <c r="C819233" s="10">
        <v>9</v>
      </c>
    </row>
    <row r="819234" spans="3:3" x14ac:dyDescent="0.25">
      <c r="C819234" s="10">
        <v>9</v>
      </c>
    </row>
    <row r="819235" spans="3:3" x14ac:dyDescent="0.25">
      <c r="C819235" s="10">
        <v>7</v>
      </c>
    </row>
    <row r="819236" spans="3:3" x14ac:dyDescent="0.25">
      <c r="C819236" s="10">
        <v>7</v>
      </c>
    </row>
    <row r="819237" spans="3:3" x14ac:dyDescent="0.25">
      <c r="C819237" s="10">
        <v>136</v>
      </c>
    </row>
    <row r="835585" spans="3:3" ht="30" x14ac:dyDescent="0.25">
      <c r="C835585" s="10" t="s">
        <v>214</v>
      </c>
    </row>
    <row r="835586" spans="3:3" x14ac:dyDescent="0.25">
      <c r="C835586" s="10" t="s">
        <v>215</v>
      </c>
    </row>
    <row r="835587" spans="3:3" x14ac:dyDescent="0.25">
      <c r="C835587" s="11">
        <v>42166</v>
      </c>
    </row>
    <row r="835588" spans="3:3" x14ac:dyDescent="0.25">
      <c r="C835588" s="10" t="s">
        <v>216</v>
      </c>
    </row>
    <row r="835589" spans="3:3" ht="30" x14ac:dyDescent="0.25">
      <c r="C835589" s="10" t="s">
        <v>217</v>
      </c>
    </row>
    <row r="835590" spans="3:3" x14ac:dyDescent="0.25">
      <c r="C835590" s="10" t="s">
        <v>218</v>
      </c>
    </row>
    <row r="835591" spans="3:3" x14ac:dyDescent="0.25">
      <c r="C835591" s="10" t="s">
        <v>218</v>
      </c>
    </row>
    <row r="835592" spans="3:3" x14ac:dyDescent="0.25">
      <c r="C835592" s="10" t="s">
        <v>219</v>
      </c>
    </row>
    <row r="835593" spans="3:3" x14ac:dyDescent="0.25">
      <c r="C835593" s="10" t="s">
        <v>220</v>
      </c>
    </row>
    <row r="835594" spans="3:3" x14ac:dyDescent="0.25">
      <c r="C835594" s="10" t="s">
        <v>221</v>
      </c>
    </row>
    <row r="835595" spans="3:3" x14ac:dyDescent="0.25">
      <c r="C835595" s="10" t="s">
        <v>222</v>
      </c>
    </row>
    <row r="835596" spans="3:3" x14ac:dyDescent="0.25">
      <c r="C835596" s="10" t="s">
        <v>183</v>
      </c>
    </row>
    <row r="835597" spans="3:3" ht="30" x14ac:dyDescent="0.25">
      <c r="C835597" s="10" t="s">
        <v>223</v>
      </c>
    </row>
    <row r="835598" spans="3:3" x14ac:dyDescent="0.25">
      <c r="C835598" s="10" t="s">
        <v>224</v>
      </c>
    </row>
    <row r="835599" spans="3:3" x14ac:dyDescent="0.25">
      <c r="C835599" s="10" t="s">
        <v>225</v>
      </c>
    </row>
    <row r="835600" spans="3:3" x14ac:dyDescent="0.25">
      <c r="C835600" s="10" t="s">
        <v>226</v>
      </c>
    </row>
    <row r="835601" spans="3:3" x14ac:dyDescent="0.25">
      <c r="C835601" s="10" t="s">
        <v>227</v>
      </c>
    </row>
    <row r="835602" spans="3:3" x14ac:dyDescent="0.25">
      <c r="C835602" s="10" t="s">
        <v>228</v>
      </c>
    </row>
    <row r="835603" spans="3:3" x14ac:dyDescent="0.25">
      <c r="C835603" s="10" t="s">
        <v>229</v>
      </c>
    </row>
    <row r="835604" spans="3:3" x14ac:dyDescent="0.25">
      <c r="C835604" s="12">
        <v>0.05</v>
      </c>
    </row>
    <row r="835605" spans="3:3" x14ac:dyDescent="0.25">
      <c r="C835605" s="10" t="s">
        <v>230</v>
      </c>
    </row>
    <row r="835606" spans="3:3" x14ac:dyDescent="0.25">
      <c r="C835606" s="10" t="s">
        <v>231</v>
      </c>
    </row>
    <row r="835607" spans="3:3" x14ac:dyDescent="0.25">
      <c r="C835607" s="10">
        <v>16</v>
      </c>
    </row>
    <row r="835608" spans="3:3" x14ac:dyDescent="0.25">
      <c r="C835608" s="10">
        <v>12</v>
      </c>
    </row>
    <row r="835609" spans="3:3" x14ac:dyDescent="0.25">
      <c r="C835609" s="10">
        <v>14</v>
      </c>
    </row>
    <row r="835610" spans="3:3" x14ac:dyDescent="0.25">
      <c r="C835610" s="10">
        <v>12</v>
      </c>
    </row>
    <row r="835611" spans="3:3" x14ac:dyDescent="0.25">
      <c r="C835611" s="10">
        <v>8</v>
      </c>
    </row>
    <row r="835612" spans="3:3" x14ac:dyDescent="0.25">
      <c r="C835612" s="10">
        <v>2</v>
      </c>
    </row>
    <row r="835613" spans="3:3" x14ac:dyDescent="0.25">
      <c r="C835613" s="10">
        <v>18</v>
      </c>
    </row>
    <row r="835614" spans="3:3" x14ac:dyDescent="0.25">
      <c r="C835614" s="10">
        <v>17</v>
      </c>
    </row>
    <row r="835615" spans="3:3" x14ac:dyDescent="0.25">
      <c r="C835615" s="10">
        <v>3</v>
      </c>
    </row>
    <row r="835616" spans="3:3" x14ac:dyDescent="0.25">
      <c r="C835616" s="10">
        <v>2</v>
      </c>
    </row>
    <row r="835617" spans="3:3" x14ac:dyDescent="0.25">
      <c r="C835617" s="10">
        <v>9</v>
      </c>
    </row>
    <row r="835618" spans="3:3" x14ac:dyDescent="0.25">
      <c r="C835618" s="10">
        <v>9</v>
      </c>
    </row>
    <row r="835619" spans="3:3" x14ac:dyDescent="0.25">
      <c r="C835619" s="10">
        <v>7</v>
      </c>
    </row>
    <row r="835620" spans="3:3" x14ac:dyDescent="0.25">
      <c r="C835620" s="10">
        <v>7</v>
      </c>
    </row>
    <row r="835621" spans="3:3" x14ac:dyDescent="0.25">
      <c r="C835621" s="10">
        <v>136</v>
      </c>
    </row>
    <row r="851969" spans="3:3" ht="30" x14ac:dyDescent="0.25">
      <c r="C851969" s="10" t="s">
        <v>214</v>
      </c>
    </row>
    <row r="851970" spans="3:3" x14ac:dyDescent="0.25">
      <c r="C851970" s="10" t="s">
        <v>215</v>
      </c>
    </row>
    <row r="851971" spans="3:3" x14ac:dyDescent="0.25">
      <c r="C851971" s="11">
        <v>42166</v>
      </c>
    </row>
    <row r="851972" spans="3:3" x14ac:dyDescent="0.25">
      <c r="C851972" s="10" t="s">
        <v>216</v>
      </c>
    </row>
    <row r="851973" spans="3:3" ht="30" x14ac:dyDescent="0.25">
      <c r="C851973" s="10" t="s">
        <v>217</v>
      </c>
    </row>
    <row r="851974" spans="3:3" x14ac:dyDescent="0.25">
      <c r="C851974" s="10" t="s">
        <v>218</v>
      </c>
    </row>
    <row r="851975" spans="3:3" x14ac:dyDescent="0.25">
      <c r="C851975" s="10" t="s">
        <v>218</v>
      </c>
    </row>
    <row r="851976" spans="3:3" x14ac:dyDescent="0.25">
      <c r="C851976" s="10" t="s">
        <v>219</v>
      </c>
    </row>
    <row r="851977" spans="3:3" x14ac:dyDescent="0.25">
      <c r="C851977" s="10" t="s">
        <v>220</v>
      </c>
    </row>
    <row r="851978" spans="3:3" x14ac:dyDescent="0.25">
      <c r="C851978" s="10" t="s">
        <v>221</v>
      </c>
    </row>
    <row r="851979" spans="3:3" x14ac:dyDescent="0.25">
      <c r="C851979" s="10" t="s">
        <v>222</v>
      </c>
    </row>
    <row r="851980" spans="3:3" x14ac:dyDescent="0.25">
      <c r="C851980" s="10" t="s">
        <v>183</v>
      </c>
    </row>
    <row r="851981" spans="3:3" ht="30" x14ac:dyDescent="0.25">
      <c r="C851981" s="10" t="s">
        <v>223</v>
      </c>
    </row>
    <row r="851982" spans="3:3" x14ac:dyDescent="0.25">
      <c r="C851982" s="10" t="s">
        <v>224</v>
      </c>
    </row>
    <row r="851983" spans="3:3" x14ac:dyDescent="0.25">
      <c r="C851983" s="10" t="s">
        <v>225</v>
      </c>
    </row>
    <row r="851984" spans="3:3" x14ac:dyDescent="0.25">
      <c r="C851984" s="10" t="s">
        <v>226</v>
      </c>
    </row>
    <row r="851985" spans="3:3" x14ac:dyDescent="0.25">
      <c r="C851985" s="10" t="s">
        <v>227</v>
      </c>
    </row>
    <row r="851986" spans="3:3" x14ac:dyDescent="0.25">
      <c r="C851986" s="10" t="s">
        <v>228</v>
      </c>
    </row>
    <row r="851987" spans="3:3" x14ac:dyDescent="0.25">
      <c r="C851987" s="10" t="s">
        <v>229</v>
      </c>
    </row>
    <row r="851988" spans="3:3" x14ac:dyDescent="0.25">
      <c r="C851988" s="12">
        <v>0.05</v>
      </c>
    </row>
    <row r="851989" spans="3:3" x14ac:dyDescent="0.25">
      <c r="C851989" s="10" t="s">
        <v>230</v>
      </c>
    </row>
    <row r="851990" spans="3:3" x14ac:dyDescent="0.25">
      <c r="C851990" s="10" t="s">
        <v>231</v>
      </c>
    </row>
    <row r="851991" spans="3:3" x14ac:dyDescent="0.25">
      <c r="C851991" s="10">
        <v>16</v>
      </c>
    </row>
    <row r="851992" spans="3:3" x14ac:dyDescent="0.25">
      <c r="C851992" s="10">
        <v>12</v>
      </c>
    </row>
    <row r="851993" spans="3:3" x14ac:dyDescent="0.25">
      <c r="C851993" s="10">
        <v>14</v>
      </c>
    </row>
    <row r="851994" spans="3:3" x14ac:dyDescent="0.25">
      <c r="C851994" s="10">
        <v>12</v>
      </c>
    </row>
    <row r="851995" spans="3:3" x14ac:dyDescent="0.25">
      <c r="C851995" s="10">
        <v>8</v>
      </c>
    </row>
    <row r="851996" spans="3:3" x14ac:dyDescent="0.25">
      <c r="C851996" s="10">
        <v>2</v>
      </c>
    </row>
    <row r="851997" spans="3:3" x14ac:dyDescent="0.25">
      <c r="C851997" s="10">
        <v>18</v>
      </c>
    </row>
    <row r="851998" spans="3:3" x14ac:dyDescent="0.25">
      <c r="C851998" s="10">
        <v>17</v>
      </c>
    </row>
    <row r="851999" spans="3:3" x14ac:dyDescent="0.25">
      <c r="C851999" s="10">
        <v>3</v>
      </c>
    </row>
    <row r="852000" spans="3:3" x14ac:dyDescent="0.25">
      <c r="C852000" s="10">
        <v>2</v>
      </c>
    </row>
    <row r="852001" spans="3:3" x14ac:dyDescent="0.25">
      <c r="C852001" s="10">
        <v>9</v>
      </c>
    </row>
    <row r="852002" spans="3:3" x14ac:dyDescent="0.25">
      <c r="C852002" s="10">
        <v>9</v>
      </c>
    </row>
    <row r="852003" spans="3:3" x14ac:dyDescent="0.25">
      <c r="C852003" s="10">
        <v>7</v>
      </c>
    </row>
    <row r="852004" spans="3:3" x14ac:dyDescent="0.25">
      <c r="C852004" s="10">
        <v>7</v>
      </c>
    </row>
    <row r="852005" spans="3:3" x14ac:dyDescent="0.25">
      <c r="C852005" s="10">
        <v>136</v>
      </c>
    </row>
    <row r="868353" spans="3:3" ht="30" x14ac:dyDescent="0.25">
      <c r="C868353" s="10" t="s">
        <v>214</v>
      </c>
    </row>
    <row r="868354" spans="3:3" x14ac:dyDescent="0.25">
      <c r="C868354" s="10" t="s">
        <v>215</v>
      </c>
    </row>
    <row r="868355" spans="3:3" x14ac:dyDescent="0.25">
      <c r="C868355" s="11">
        <v>42166</v>
      </c>
    </row>
    <row r="868356" spans="3:3" x14ac:dyDescent="0.25">
      <c r="C868356" s="10" t="s">
        <v>216</v>
      </c>
    </row>
    <row r="868357" spans="3:3" ht="30" x14ac:dyDescent="0.25">
      <c r="C868357" s="10" t="s">
        <v>217</v>
      </c>
    </row>
    <row r="868358" spans="3:3" x14ac:dyDescent="0.25">
      <c r="C868358" s="10" t="s">
        <v>218</v>
      </c>
    </row>
    <row r="868359" spans="3:3" x14ac:dyDescent="0.25">
      <c r="C868359" s="10" t="s">
        <v>218</v>
      </c>
    </row>
    <row r="868360" spans="3:3" x14ac:dyDescent="0.25">
      <c r="C868360" s="10" t="s">
        <v>219</v>
      </c>
    </row>
    <row r="868361" spans="3:3" x14ac:dyDescent="0.25">
      <c r="C868361" s="10" t="s">
        <v>220</v>
      </c>
    </row>
    <row r="868362" spans="3:3" x14ac:dyDescent="0.25">
      <c r="C868362" s="10" t="s">
        <v>221</v>
      </c>
    </row>
    <row r="868363" spans="3:3" x14ac:dyDescent="0.25">
      <c r="C868363" s="10" t="s">
        <v>222</v>
      </c>
    </row>
    <row r="868364" spans="3:3" x14ac:dyDescent="0.25">
      <c r="C868364" s="10" t="s">
        <v>183</v>
      </c>
    </row>
    <row r="868365" spans="3:3" ht="30" x14ac:dyDescent="0.25">
      <c r="C868365" s="10" t="s">
        <v>223</v>
      </c>
    </row>
    <row r="868366" spans="3:3" x14ac:dyDescent="0.25">
      <c r="C868366" s="10" t="s">
        <v>224</v>
      </c>
    </row>
    <row r="868367" spans="3:3" x14ac:dyDescent="0.25">
      <c r="C868367" s="10" t="s">
        <v>225</v>
      </c>
    </row>
    <row r="868368" spans="3:3" x14ac:dyDescent="0.25">
      <c r="C868368" s="10" t="s">
        <v>226</v>
      </c>
    </row>
    <row r="868369" spans="3:3" x14ac:dyDescent="0.25">
      <c r="C868369" s="10" t="s">
        <v>227</v>
      </c>
    </row>
    <row r="868370" spans="3:3" x14ac:dyDescent="0.25">
      <c r="C868370" s="10" t="s">
        <v>228</v>
      </c>
    </row>
    <row r="868371" spans="3:3" x14ac:dyDescent="0.25">
      <c r="C868371" s="10" t="s">
        <v>229</v>
      </c>
    </row>
    <row r="868372" spans="3:3" x14ac:dyDescent="0.25">
      <c r="C868372" s="12">
        <v>0.05</v>
      </c>
    </row>
    <row r="868373" spans="3:3" x14ac:dyDescent="0.25">
      <c r="C868373" s="10" t="s">
        <v>230</v>
      </c>
    </row>
    <row r="868374" spans="3:3" x14ac:dyDescent="0.25">
      <c r="C868374" s="10" t="s">
        <v>231</v>
      </c>
    </row>
    <row r="868375" spans="3:3" x14ac:dyDescent="0.25">
      <c r="C868375" s="10">
        <v>16</v>
      </c>
    </row>
    <row r="868376" spans="3:3" x14ac:dyDescent="0.25">
      <c r="C868376" s="10">
        <v>12</v>
      </c>
    </row>
    <row r="868377" spans="3:3" x14ac:dyDescent="0.25">
      <c r="C868377" s="10">
        <v>14</v>
      </c>
    </row>
    <row r="868378" spans="3:3" x14ac:dyDescent="0.25">
      <c r="C868378" s="10">
        <v>12</v>
      </c>
    </row>
    <row r="868379" spans="3:3" x14ac:dyDescent="0.25">
      <c r="C868379" s="10">
        <v>8</v>
      </c>
    </row>
    <row r="868380" spans="3:3" x14ac:dyDescent="0.25">
      <c r="C868380" s="10">
        <v>2</v>
      </c>
    </row>
    <row r="868381" spans="3:3" x14ac:dyDescent="0.25">
      <c r="C868381" s="10">
        <v>18</v>
      </c>
    </row>
    <row r="868382" spans="3:3" x14ac:dyDescent="0.25">
      <c r="C868382" s="10">
        <v>17</v>
      </c>
    </row>
    <row r="868383" spans="3:3" x14ac:dyDescent="0.25">
      <c r="C868383" s="10">
        <v>3</v>
      </c>
    </row>
    <row r="868384" spans="3:3" x14ac:dyDescent="0.25">
      <c r="C868384" s="10">
        <v>2</v>
      </c>
    </row>
    <row r="868385" spans="3:3" x14ac:dyDescent="0.25">
      <c r="C868385" s="10">
        <v>9</v>
      </c>
    </row>
    <row r="868386" spans="3:3" x14ac:dyDescent="0.25">
      <c r="C868386" s="10">
        <v>9</v>
      </c>
    </row>
    <row r="868387" spans="3:3" x14ac:dyDescent="0.25">
      <c r="C868387" s="10">
        <v>7</v>
      </c>
    </row>
    <row r="868388" spans="3:3" x14ac:dyDescent="0.25">
      <c r="C868388" s="10">
        <v>7</v>
      </c>
    </row>
    <row r="868389" spans="3:3" x14ac:dyDescent="0.25">
      <c r="C868389" s="10">
        <v>136</v>
      </c>
    </row>
    <row r="884737" spans="3:3" ht="30" x14ac:dyDescent="0.25">
      <c r="C884737" s="10" t="s">
        <v>214</v>
      </c>
    </row>
    <row r="884738" spans="3:3" x14ac:dyDescent="0.25">
      <c r="C884738" s="10" t="s">
        <v>215</v>
      </c>
    </row>
    <row r="884739" spans="3:3" x14ac:dyDescent="0.25">
      <c r="C884739" s="11">
        <v>42166</v>
      </c>
    </row>
    <row r="884740" spans="3:3" x14ac:dyDescent="0.25">
      <c r="C884740" s="10" t="s">
        <v>216</v>
      </c>
    </row>
    <row r="884741" spans="3:3" ht="30" x14ac:dyDescent="0.25">
      <c r="C884741" s="10" t="s">
        <v>217</v>
      </c>
    </row>
    <row r="884742" spans="3:3" x14ac:dyDescent="0.25">
      <c r="C884742" s="10" t="s">
        <v>218</v>
      </c>
    </row>
    <row r="884743" spans="3:3" x14ac:dyDescent="0.25">
      <c r="C884743" s="10" t="s">
        <v>218</v>
      </c>
    </row>
    <row r="884744" spans="3:3" x14ac:dyDescent="0.25">
      <c r="C884744" s="10" t="s">
        <v>219</v>
      </c>
    </row>
    <row r="884745" spans="3:3" x14ac:dyDescent="0.25">
      <c r="C884745" s="10" t="s">
        <v>220</v>
      </c>
    </row>
    <row r="884746" spans="3:3" x14ac:dyDescent="0.25">
      <c r="C884746" s="10" t="s">
        <v>221</v>
      </c>
    </row>
    <row r="884747" spans="3:3" x14ac:dyDescent="0.25">
      <c r="C884747" s="10" t="s">
        <v>222</v>
      </c>
    </row>
    <row r="884748" spans="3:3" x14ac:dyDescent="0.25">
      <c r="C884748" s="10" t="s">
        <v>183</v>
      </c>
    </row>
    <row r="884749" spans="3:3" ht="30" x14ac:dyDescent="0.25">
      <c r="C884749" s="10" t="s">
        <v>223</v>
      </c>
    </row>
    <row r="884750" spans="3:3" x14ac:dyDescent="0.25">
      <c r="C884750" s="10" t="s">
        <v>224</v>
      </c>
    </row>
    <row r="884751" spans="3:3" x14ac:dyDescent="0.25">
      <c r="C884751" s="10" t="s">
        <v>225</v>
      </c>
    </row>
    <row r="884752" spans="3:3" x14ac:dyDescent="0.25">
      <c r="C884752" s="10" t="s">
        <v>226</v>
      </c>
    </row>
    <row r="884753" spans="3:3" x14ac:dyDescent="0.25">
      <c r="C884753" s="10" t="s">
        <v>227</v>
      </c>
    </row>
    <row r="884754" spans="3:3" x14ac:dyDescent="0.25">
      <c r="C884754" s="10" t="s">
        <v>228</v>
      </c>
    </row>
    <row r="884755" spans="3:3" x14ac:dyDescent="0.25">
      <c r="C884755" s="10" t="s">
        <v>229</v>
      </c>
    </row>
    <row r="884756" spans="3:3" x14ac:dyDescent="0.25">
      <c r="C884756" s="12">
        <v>0.05</v>
      </c>
    </row>
    <row r="884757" spans="3:3" x14ac:dyDescent="0.25">
      <c r="C884757" s="10" t="s">
        <v>230</v>
      </c>
    </row>
    <row r="884758" spans="3:3" x14ac:dyDescent="0.25">
      <c r="C884758" s="10" t="s">
        <v>231</v>
      </c>
    </row>
    <row r="884759" spans="3:3" x14ac:dyDescent="0.25">
      <c r="C884759" s="10">
        <v>16</v>
      </c>
    </row>
    <row r="884760" spans="3:3" x14ac:dyDescent="0.25">
      <c r="C884760" s="10">
        <v>12</v>
      </c>
    </row>
    <row r="884761" spans="3:3" x14ac:dyDescent="0.25">
      <c r="C884761" s="10">
        <v>14</v>
      </c>
    </row>
    <row r="884762" spans="3:3" x14ac:dyDescent="0.25">
      <c r="C884762" s="10">
        <v>12</v>
      </c>
    </row>
    <row r="884763" spans="3:3" x14ac:dyDescent="0.25">
      <c r="C884763" s="10">
        <v>8</v>
      </c>
    </row>
    <row r="884764" spans="3:3" x14ac:dyDescent="0.25">
      <c r="C884764" s="10">
        <v>2</v>
      </c>
    </row>
    <row r="884765" spans="3:3" x14ac:dyDescent="0.25">
      <c r="C884765" s="10">
        <v>18</v>
      </c>
    </row>
    <row r="884766" spans="3:3" x14ac:dyDescent="0.25">
      <c r="C884766" s="10">
        <v>17</v>
      </c>
    </row>
    <row r="884767" spans="3:3" x14ac:dyDescent="0.25">
      <c r="C884767" s="10">
        <v>3</v>
      </c>
    </row>
    <row r="884768" spans="3:3" x14ac:dyDescent="0.25">
      <c r="C884768" s="10">
        <v>2</v>
      </c>
    </row>
    <row r="884769" spans="3:3" x14ac:dyDescent="0.25">
      <c r="C884769" s="10">
        <v>9</v>
      </c>
    </row>
    <row r="884770" spans="3:3" x14ac:dyDescent="0.25">
      <c r="C884770" s="10">
        <v>9</v>
      </c>
    </row>
    <row r="884771" spans="3:3" x14ac:dyDescent="0.25">
      <c r="C884771" s="10">
        <v>7</v>
      </c>
    </row>
    <row r="884772" spans="3:3" x14ac:dyDescent="0.25">
      <c r="C884772" s="10">
        <v>7</v>
      </c>
    </row>
    <row r="884773" spans="3:3" x14ac:dyDescent="0.25">
      <c r="C884773" s="10">
        <v>136</v>
      </c>
    </row>
    <row r="901121" spans="3:3" ht="30" x14ac:dyDescent="0.25">
      <c r="C901121" s="10" t="s">
        <v>214</v>
      </c>
    </row>
    <row r="901122" spans="3:3" x14ac:dyDescent="0.25">
      <c r="C901122" s="10" t="s">
        <v>215</v>
      </c>
    </row>
    <row r="901123" spans="3:3" x14ac:dyDescent="0.25">
      <c r="C901123" s="11">
        <v>42166</v>
      </c>
    </row>
    <row r="901124" spans="3:3" x14ac:dyDescent="0.25">
      <c r="C901124" s="10" t="s">
        <v>216</v>
      </c>
    </row>
    <row r="901125" spans="3:3" ht="30" x14ac:dyDescent="0.25">
      <c r="C901125" s="10" t="s">
        <v>217</v>
      </c>
    </row>
    <row r="901126" spans="3:3" x14ac:dyDescent="0.25">
      <c r="C901126" s="10" t="s">
        <v>218</v>
      </c>
    </row>
    <row r="901127" spans="3:3" x14ac:dyDescent="0.25">
      <c r="C901127" s="10" t="s">
        <v>218</v>
      </c>
    </row>
    <row r="901128" spans="3:3" x14ac:dyDescent="0.25">
      <c r="C901128" s="10" t="s">
        <v>219</v>
      </c>
    </row>
    <row r="901129" spans="3:3" x14ac:dyDescent="0.25">
      <c r="C901129" s="10" t="s">
        <v>220</v>
      </c>
    </row>
    <row r="901130" spans="3:3" x14ac:dyDescent="0.25">
      <c r="C901130" s="10" t="s">
        <v>221</v>
      </c>
    </row>
    <row r="901131" spans="3:3" x14ac:dyDescent="0.25">
      <c r="C901131" s="10" t="s">
        <v>222</v>
      </c>
    </row>
    <row r="901132" spans="3:3" x14ac:dyDescent="0.25">
      <c r="C901132" s="10" t="s">
        <v>183</v>
      </c>
    </row>
    <row r="901133" spans="3:3" ht="30" x14ac:dyDescent="0.25">
      <c r="C901133" s="10" t="s">
        <v>223</v>
      </c>
    </row>
    <row r="901134" spans="3:3" x14ac:dyDescent="0.25">
      <c r="C901134" s="10" t="s">
        <v>224</v>
      </c>
    </row>
    <row r="901135" spans="3:3" x14ac:dyDescent="0.25">
      <c r="C901135" s="10" t="s">
        <v>225</v>
      </c>
    </row>
    <row r="901136" spans="3:3" x14ac:dyDescent="0.25">
      <c r="C901136" s="10" t="s">
        <v>226</v>
      </c>
    </row>
    <row r="901137" spans="3:3" x14ac:dyDescent="0.25">
      <c r="C901137" s="10" t="s">
        <v>227</v>
      </c>
    </row>
    <row r="901138" spans="3:3" x14ac:dyDescent="0.25">
      <c r="C901138" s="10" t="s">
        <v>228</v>
      </c>
    </row>
    <row r="901139" spans="3:3" x14ac:dyDescent="0.25">
      <c r="C901139" s="10" t="s">
        <v>229</v>
      </c>
    </row>
    <row r="901140" spans="3:3" x14ac:dyDescent="0.25">
      <c r="C901140" s="12">
        <v>0.05</v>
      </c>
    </row>
    <row r="901141" spans="3:3" x14ac:dyDescent="0.25">
      <c r="C901141" s="10" t="s">
        <v>230</v>
      </c>
    </row>
    <row r="901142" spans="3:3" x14ac:dyDescent="0.25">
      <c r="C901142" s="10" t="s">
        <v>231</v>
      </c>
    </row>
    <row r="901143" spans="3:3" x14ac:dyDescent="0.25">
      <c r="C901143" s="10">
        <v>16</v>
      </c>
    </row>
    <row r="901144" spans="3:3" x14ac:dyDescent="0.25">
      <c r="C901144" s="10">
        <v>12</v>
      </c>
    </row>
    <row r="901145" spans="3:3" x14ac:dyDescent="0.25">
      <c r="C901145" s="10">
        <v>14</v>
      </c>
    </row>
    <row r="901146" spans="3:3" x14ac:dyDescent="0.25">
      <c r="C901146" s="10">
        <v>12</v>
      </c>
    </row>
    <row r="901147" spans="3:3" x14ac:dyDescent="0.25">
      <c r="C901147" s="10">
        <v>8</v>
      </c>
    </row>
    <row r="901148" spans="3:3" x14ac:dyDescent="0.25">
      <c r="C901148" s="10">
        <v>2</v>
      </c>
    </row>
    <row r="901149" spans="3:3" x14ac:dyDescent="0.25">
      <c r="C901149" s="10">
        <v>18</v>
      </c>
    </row>
    <row r="901150" spans="3:3" x14ac:dyDescent="0.25">
      <c r="C901150" s="10">
        <v>17</v>
      </c>
    </row>
    <row r="901151" spans="3:3" x14ac:dyDescent="0.25">
      <c r="C901151" s="10">
        <v>3</v>
      </c>
    </row>
    <row r="901152" spans="3:3" x14ac:dyDescent="0.25">
      <c r="C901152" s="10">
        <v>2</v>
      </c>
    </row>
    <row r="901153" spans="3:3" x14ac:dyDescent="0.25">
      <c r="C901153" s="10">
        <v>9</v>
      </c>
    </row>
    <row r="901154" spans="3:3" x14ac:dyDescent="0.25">
      <c r="C901154" s="10">
        <v>9</v>
      </c>
    </row>
    <row r="901155" spans="3:3" x14ac:dyDescent="0.25">
      <c r="C901155" s="10">
        <v>7</v>
      </c>
    </row>
    <row r="901156" spans="3:3" x14ac:dyDescent="0.25">
      <c r="C901156" s="10">
        <v>7</v>
      </c>
    </row>
    <row r="901157" spans="3:3" x14ac:dyDescent="0.25">
      <c r="C901157" s="10">
        <v>136</v>
      </c>
    </row>
    <row r="917505" spans="3:3" ht="30" x14ac:dyDescent="0.25">
      <c r="C917505" s="10" t="s">
        <v>214</v>
      </c>
    </row>
    <row r="917506" spans="3:3" x14ac:dyDescent="0.25">
      <c r="C917506" s="10" t="s">
        <v>215</v>
      </c>
    </row>
    <row r="917507" spans="3:3" x14ac:dyDescent="0.25">
      <c r="C917507" s="11">
        <v>42166</v>
      </c>
    </row>
    <row r="917508" spans="3:3" x14ac:dyDescent="0.25">
      <c r="C917508" s="10" t="s">
        <v>216</v>
      </c>
    </row>
    <row r="917509" spans="3:3" ht="30" x14ac:dyDescent="0.25">
      <c r="C917509" s="10" t="s">
        <v>217</v>
      </c>
    </row>
    <row r="917510" spans="3:3" x14ac:dyDescent="0.25">
      <c r="C917510" s="10" t="s">
        <v>218</v>
      </c>
    </row>
    <row r="917511" spans="3:3" x14ac:dyDescent="0.25">
      <c r="C917511" s="10" t="s">
        <v>218</v>
      </c>
    </row>
    <row r="917512" spans="3:3" x14ac:dyDescent="0.25">
      <c r="C917512" s="10" t="s">
        <v>219</v>
      </c>
    </row>
    <row r="917513" spans="3:3" x14ac:dyDescent="0.25">
      <c r="C917513" s="10" t="s">
        <v>220</v>
      </c>
    </row>
    <row r="917514" spans="3:3" x14ac:dyDescent="0.25">
      <c r="C917514" s="10" t="s">
        <v>221</v>
      </c>
    </row>
    <row r="917515" spans="3:3" x14ac:dyDescent="0.25">
      <c r="C917515" s="10" t="s">
        <v>222</v>
      </c>
    </row>
    <row r="917516" spans="3:3" x14ac:dyDescent="0.25">
      <c r="C917516" s="10" t="s">
        <v>183</v>
      </c>
    </row>
    <row r="917517" spans="3:3" ht="30" x14ac:dyDescent="0.25">
      <c r="C917517" s="10" t="s">
        <v>223</v>
      </c>
    </row>
    <row r="917518" spans="3:3" x14ac:dyDescent="0.25">
      <c r="C917518" s="10" t="s">
        <v>224</v>
      </c>
    </row>
    <row r="917519" spans="3:3" x14ac:dyDescent="0.25">
      <c r="C917519" s="10" t="s">
        <v>225</v>
      </c>
    </row>
    <row r="917520" spans="3:3" x14ac:dyDescent="0.25">
      <c r="C917520" s="10" t="s">
        <v>226</v>
      </c>
    </row>
    <row r="917521" spans="3:3" x14ac:dyDescent="0.25">
      <c r="C917521" s="10" t="s">
        <v>227</v>
      </c>
    </row>
    <row r="917522" spans="3:3" x14ac:dyDescent="0.25">
      <c r="C917522" s="10" t="s">
        <v>228</v>
      </c>
    </row>
    <row r="917523" spans="3:3" x14ac:dyDescent="0.25">
      <c r="C917523" s="10" t="s">
        <v>229</v>
      </c>
    </row>
    <row r="917524" spans="3:3" x14ac:dyDescent="0.25">
      <c r="C917524" s="12">
        <v>0.05</v>
      </c>
    </row>
    <row r="917525" spans="3:3" x14ac:dyDescent="0.25">
      <c r="C917525" s="10" t="s">
        <v>230</v>
      </c>
    </row>
    <row r="917526" spans="3:3" x14ac:dyDescent="0.25">
      <c r="C917526" s="10" t="s">
        <v>231</v>
      </c>
    </row>
    <row r="917527" spans="3:3" x14ac:dyDescent="0.25">
      <c r="C917527" s="10">
        <v>16</v>
      </c>
    </row>
    <row r="917528" spans="3:3" x14ac:dyDescent="0.25">
      <c r="C917528" s="10">
        <v>12</v>
      </c>
    </row>
    <row r="917529" spans="3:3" x14ac:dyDescent="0.25">
      <c r="C917529" s="10">
        <v>14</v>
      </c>
    </row>
    <row r="917530" spans="3:3" x14ac:dyDescent="0.25">
      <c r="C917530" s="10">
        <v>12</v>
      </c>
    </row>
    <row r="917531" spans="3:3" x14ac:dyDescent="0.25">
      <c r="C917531" s="10">
        <v>8</v>
      </c>
    </row>
    <row r="917532" spans="3:3" x14ac:dyDescent="0.25">
      <c r="C917532" s="10">
        <v>2</v>
      </c>
    </row>
    <row r="917533" spans="3:3" x14ac:dyDescent="0.25">
      <c r="C917533" s="10">
        <v>18</v>
      </c>
    </row>
    <row r="917534" spans="3:3" x14ac:dyDescent="0.25">
      <c r="C917534" s="10">
        <v>17</v>
      </c>
    </row>
    <row r="917535" spans="3:3" x14ac:dyDescent="0.25">
      <c r="C917535" s="10">
        <v>3</v>
      </c>
    </row>
    <row r="917536" spans="3:3" x14ac:dyDescent="0.25">
      <c r="C917536" s="10">
        <v>2</v>
      </c>
    </row>
    <row r="917537" spans="3:3" x14ac:dyDescent="0.25">
      <c r="C917537" s="10">
        <v>9</v>
      </c>
    </row>
    <row r="917538" spans="3:3" x14ac:dyDescent="0.25">
      <c r="C917538" s="10">
        <v>9</v>
      </c>
    </row>
    <row r="917539" spans="3:3" x14ac:dyDescent="0.25">
      <c r="C917539" s="10">
        <v>7</v>
      </c>
    </row>
    <row r="917540" spans="3:3" x14ac:dyDescent="0.25">
      <c r="C917540" s="10">
        <v>7</v>
      </c>
    </row>
    <row r="917541" spans="3:3" x14ac:dyDescent="0.25">
      <c r="C917541" s="10">
        <v>136</v>
      </c>
    </row>
    <row r="933889" spans="3:3" ht="30" x14ac:dyDescent="0.25">
      <c r="C933889" s="10" t="s">
        <v>214</v>
      </c>
    </row>
    <row r="933890" spans="3:3" x14ac:dyDescent="0.25">
      <c r="C933890" s="10" t="s">
        <v>215</v>
      </c>
    </row>
    <row r="933891" spans="3:3" x14ac:dyDescent="0.25">
      <c r="C933891" s="11">
        <v>42166</v>
      </c>
    </row>
    <row r="933892" spans="3:3" x14ac:dyDescent="0.25">
      <c r="C933892" s="10" t="s">
        <v>216</v>
      </c>
    </row>
    <row r="933893" spans="3:3" ht="30" x14ac:dyDescent="0.25">
      <c r="C933893" s="10" t="s">
        <v>217</v>
      </c>
    </row>
    <row r="933894" spans="3:3" x14ac:dyDescent="0.25">
      <c r="C933894" s="10" t="s">
        <v>218</v>
      </c>
    </row>
    <row r="933895" spans="3:3" x14ac:dyDescent="0.25">
      <c r="C933895" s="10" t="s">
        <v>218</v>
      </c>
    </row>
    <row r="933896" spans="3:3" x14ac:dyDescent="0.25">
      <c r="C933896" s="10" t="s">
        <v>219</v>
      </c>
    </row>
    <row r="933897" spans="3:3" x14ac:dyDescent="0.25">
      <c r="C933897" s="10" t="s">
        <v>220</v>
      </c>
    </row>
    <row r="933898" spans="3:3" x14ac:dyDescent="0.25">
      <c r="C933898" s="10" t="s">
        <v>221</v>
      </c>
    </row>
    <row r="933899" spans="3:3" x14ac:dyDescent="0.25">
      <c r="C933899" s="10" t="s">
        <v>222</v>
      </c>
    </row>
    <row r="933900" spans="3:3" x14ac:dyDescent="0.25">
      <c r="C933900" s="10" t="s">
        <v>183</v>
      </c>
    </row>
    <row r="933901" spans="3:3" ht="30" x14ac:dyDescent="0.25">
      <c r="C933901" s="10" t="s">
        <v>223</v>
      </c>
    </row>
    <row r="933902" spans="3:3" x14ac:dyDescent="0.25">
      <c r="C933902" s="10" t="s">
        <v>224</v>
      </c>
    </row>
    <row r="933903" spans="3:3" x14ac:dyDescent="0.25">
      <c r="C933903" s="10" t="s">
        <v>225</v>
      </c>
    </row>
    <row r="933904" spans="3:3" x14ac:dyDescent="0.25">
      <c r="C933904" s="10" t="s">
        <v>226</v>
      </c>
    </row>
    <row r="933905" spans="3:3" x14ac:dyDescent="0.25">
      <c r="C933905" s="10" t="s">
        <v>227</v>
      </c>
    </row>
    <row r="933906" spans="3:3" x14ac:dyDescent="0.25">
      <c r="C933906" s="10" t="s">
        <v>228</v>
      </c>
    </row>
    <row r="933907" spans="3:3" x14ac:dyDescent="0.25">
      <c r="C933907" s="10" t="s">
        <v>229</v>
      </c>
    </row>
    <row r="933908" spans="3:3" x14ac:dyDescent="0.25">
      <c r="C933908" s="12">
        <v>0.05</v>
      </c>
    </row>
    <row r="933909" spans="3:3" x14ac:dyDescent="0.25">
      <c r="C933909" s="10" t="s">
        <v>230</v>
      </c>
    </row>
    <row r="933910" spans="3:3" x14ac:dyDescent="0.25">
      <c r="C933910" s="10" t="s">
        <v>231</v>
      </c>
    </row>
    <row r="933911" spans="3:3" x14ac:dyDescent="0.25">
      <c r="C933911" s="10">
        <v>16</v>
      </c>
    </row>
    <row r="933912" spans="3:3" x14ac:dyDescent="0.25">
      <c r="C933912" s="10">
        <v>12</v>
      </c>
    </row>
    <row r="933913" spans="3:3" x14ac:dyDescent="0.25">
      <c r="C933913" s="10">
        <v>14</v>
      </c>
    </row>
    <row r="933914" spans="3:3" x14ac:dyDescent="0.25">
      <c r="C933914" s="10">
        <v>12</v>
      </c>
    </row>
    <row r="933915" spans="3:3" x14ac:dyDescent="0.25">
      <c r="C933915" s="10">
        <v>8</v>
      </c>
    </row>
    <row r="933916" spans="3:3" x14ac:dyDescent="0.25">
      <c r="C933916" s="10">
        <v>2</v>
      </c>
    </row>
    <row r="933917" spans="3:3" x14ac:dyDescent="0.25">
      <c r="C933917" s="10">
        <v>18</v>
      </c>
    </row>
    <row r="933918" spans="3:3" x14ac:dyDescent="0.25">
      <c r="C933918" s="10">
        <v>17</v>
      </c>
    </row>
    <row r="933919" spans="3:3" x14ac:dyDescent="0.25">
      <c r="C933919" s="10">
        <v>3</v>
      </c>
    </row>
    <row r="933920" spans="3:3" x14ac:dyDescent="0.25">
      <c r="C933920" s="10">
        <v>2</v>
      </c>
    </row>
    <row r="933921" spans="3:3" x14ac:dyDescent="0.25">
      <c r="C933921" s="10">
        <v>9</v>
      </c>
    </row>
    <row r="933922" spans="3:3" x14ac:dyDescent="0.25">
      <c r="C933922" s="10">
        <v>9</v>
      </c>
    </row>
    <row r="933923" spans="3:3" x14ac:dyDescent="0.25">
      <c r="C933923" s="10">
        <v>7</v>
      </c>
    </row>
    <row r="933924" spans="3:3" x14ac:dyDescent="0.25">
      <c r="C933924" s="10">
        <v>7</v>
      </c>
    </row>
    <row r="933925" spans="3:3" x14ac:dyDescent="0.25">
      <c r="C933925" s="10">
        <v>136</v>
      </c>
    </row>
    <row r="950273" spans="3:3" ht="30" x14ac:dyDescent="0.25">
      <c r="C950273" s="10" t="s">
        <v>214</v>
      </c>
    </row>
    <row r="950274" spans="3:3" x14ac:dyDescent="0.25">
      <c r="C950274" s="10" t="s">
        <v>215</v>
      </c>
    </row>
    <row r="950275" spans="3:3" x14ac:dyDescent="0.25">
      <c r="C950275" s="11">
        <v>42166</v>
      </c>
    </row>
    <row r="950276" spans="3:3" x14ac:dyDescent="0.25">
      <c r="C950276" s="10" t="s">
        <v>216</v>
      </c>
    </row>
    <row r="950277" spans="3:3" ht="30" x14ac:dyDescent="0.25">
      <c r="C950277" s="10" t="s">
        <v>217</v>
      </c>
    </row>
    <row r="950278" spans="3:3" x14ac:dyDescent="0.25">
      <c r="C950278" s="10" t="s">
        <v>218</v>
      </c>
    </row>
    <row r="950279" spans="3:3" x14ac:dyDescent="0.25">
      <c r="C950279" s="10" t="s">
        <v>218</v>
      </c>
    </row>
    <row r="950280" spans="3:3" x14ac:dyDescent="0.25">
      <c r="C950280" s="10" t="s">
        <v>219</v>
      </c>
    </row>
    <row r="950281" spans="3:3" x14ac:dyDescent="0.25">
      <c r="C950281" s="10" t="s">
        <v>220</v>
      </c>
    </row>
    <row r="950282" spans="3:3" x14ac:dyDescent="0.25">
      <c r="C950282" s="10" t="s">
        <v>221</v>
      </c>
    </row>
    <row r="950283" spans="3:3" x14ac:dyDescent="0.25">
      <c r="C950283" s="10" t="s">
        <v>222</v>
      </c>
    </row>
    <row r="950284" spans="3:3" x14ac:dyDescent="0.25">
      <c r="C950284" s="10" t="s">
        <v>183</v>
      </c>
    </row>
    <row r="950285" spans="3:3" ht="30" x14ac:dyDescent="0.25">
      <c r="C950285" s="10" t="s">
        <v>223</v>
      </c>
    </row>
    <row r="950286" spans="3:3" x14ac:dyDescent="0.25">
      <c r="C950286" s="10" t="s">
        <v>224</v>
      </c>
    </row>
    <row r="950287" spans="3:3" x14ac:dyDescent="0.25">
      <c r="C950287" s="10" t="s">
        <v>225</v>
      </c>
    </row>
    <row r="950288" spans="3:3" x14ac:dyDescent="0.25">
      <c r="C950288" s="10" t="s">
        <v>226</v>
      </c>
    </row>
    <row r="950289" spans="3:3" x14ac:dyDescent="0.25">
      <c r="C950289" s="10" t="s">
        <v>227</v>
      </c>
    </row>
    <row r="950290" spans="3:3" x14ac:dyDescent="0.25">
      <c r="C950290" s="10" t="s">
        <v>228</v>
      </c>
    </row>
    <row r="950291" spans="3:3" x14ac:dyDescent="0.25">
      <c r="C950291" s="10" t="s">
        <v>229</v>
      </c>
    </row>
    <row r="950292" spans="3:3" x14ac:dyDescent="0.25">
      <c r="C950292" s="12">
        <v>0.05</v>
      </c>
    </row>
    <row r="950293" spans="3:3" x14ac:dyDescent="0.25">
      <c r="C950293" s="10" t="s">
        <v>230</v>
      </c>
    </row>
    <row r="950294" spans="3:3" x14ac:dyDescent="0.25">
      <c r="C950294" s="10" t="s">
        <v>231</v>
      </c>
    </row>
    <row r="950295" spans="3:3" x14ac:dyDescent="0.25">
      <c r="C950295" s="10">
        <v>16</v>
      </c>
    </row>
    <row r="950296" spans="3:3" x14ac:dyDescent="0.25">
      <c r="C950296" s="10">
        <v>12</v>
      </c>
    </row>
    <row r="950297" spans="3:3" x14ac:dyDescent="0.25">
      <c r="C950297" s="10">
        <v>14</v>
      </c>
    </row>
    <row r="950298" spans="3:3" x14ac:dyDescent="0.25">
      <c r="C950298" s="10">
        <v>12</v>
      </c>
    </row>
    <row r="950299" spans="3:3" x14ac:dyDescent="0.25">
      <c r="C950299" s="10">
        <v>8</v>
      </c>
    </row>
    <row r="950300" spans="3:3" x14ac:dyDescent="0.25">
      <c r="C950300" s="10">
        <v>2</v>
      </c>
    </row>
    <row r="950301" spans="3:3" x14ac:dyDescent="0.25">
      <c r="C950301" s="10">
        <v>18</v>
      </c>
    </row>
    <row r="950302" spans="3:3" x14ac:dyDescent="0.25">
      <c r="C950302" s="10">
        <v>17</v>
      </c>
    </row>
    <row r="950303" spans="3:3" x14ac:dyDescent="0.25">
      <c r="C950303" s="10">
        <v>3</v>
      </c>
    </row>
    <row r="950304" spans="3:3" x14ac:dyDescent="0.25">
      <c r="C950304" s="10">
        <v>2</v>
      </c>
    </row>
    <row r="950305" spans="3:3" x14ac:dyDescent="0.25">
      <c r="C950305" s="10">
        <v>9</v>
      </c>
    </row>
    <row r="950306" spans="3:3" x14ac:dyDescent="0.25">
      <c r="C950306" s="10">
        <v>9</v>
      </c>
    </row>
    <row r="950307" spans="3:3" x14ac:dyDescent="0.25">
      <c r="C950307" s="10">
        <v>7</v>
      </c>
    </row>
    <row r="950308" spans="3:3" x14ac:dyDescent="0.25">
      <c r="C950308" s="10">
        <v>7</v>
      </c>
    </row>
    <row r="950309" spans="3:3" x14ac:dyDescent="0.25">
      <c r="C950309" s="10">
        <v>136</v>
      </c>
    </row>
    <row r="966657" spans="3:3" ht="30" x14ac:dyDescent="0.25">
      <c r="C966657" s="10" t="s">
        <v>214</v>
      </c>
    </row>
    <row r="966658" spans="3:3" x14ac:dyDescent="0.25">
      <c r="C966658" s="10" t="s">
        <v>215</v>
      </c>
    </row>
    <row r="966659" spans="3:3" x14ac:dyDescent="0.25">
      <c r="C966659" s="11">
        <v>42166</v>
      </c>
    </row>
    <row r="966660" spans="3:3" x14ac:dyDescent="0.25">
      <c r="C966660" s="10" t="s">
        <v>216</v>
      </c>
    </row>
    <row r="966661" spans="3:3" ht="30" x14ac:dyDescent="0.25">
      <c r="C966661" s="10" t="s">
        <v>217</v>
      </c>
    </row>
    <row r="966662" spans="3:3" x14ac:dyDescent="0.25">
      <c r="C966662" s="10" t="s">
        <v>218</v>
      </c>
    </row>
    <row r="966663" spans="3:3" x14ac:dyDescent="0.25">
      <c r="C966663" s="10" t="s">
        <v>218</v>
      </c>
    </row>
    <row r="966664" spans="3:3" x14ac:dyDescent="0.25">
      <c r="C966664" s="10" t="s">
        <v>219</v>
      </c>
    </row>
    <row r="966665" spans="3:3" x14ac:dyDescent="0.25">
      <c r="C966665" s="10" t="s">
        <v>220</v>
      </c>
    </row>
    <row r="966666" spans="3:3" x14ac:dyDescent="0.25">
      <c r="C966666" s="10" t="s">
        <v>221</v>
      </c>
    </row>
    <row r="966667" spans="3:3" x14ac:dyDescent="0.25">
      <c r="C966667" s="10" t="s">
        <v>222</v>
      </c>
    </row>
    <row r="966668" spans="3:3" x14ac:dyDescent="0.25">
      <c r="C966668" s="10" t="s">
        <v>183</v>
      </c>
    </row>
    <row r="966669" spans="3:3" ht="30" x14ac:dyDescent="0.25">
      <c r="C966669" s="10" t="s">
        <v>223</v>
      </c>
    </row>
    <row r="966670" spans="3:3" x14ac:dyDescent="0.25">
      <c r="C966670" s="10" t="s">
        <v>224</v>
      </c>
    </row>
    <row r="966671" spans="3:3" x14ac:dyDescent="0.25">
      <c r="C966671" s="10" t="s">
        <v>225</v>
      </c>
    </row>
    <row r="966672" spans="3:3" x14ac:dyDescent="0.25">
      <c r="C966672" s="10" t="s">
        <v>226</v>
      </c>
    </row>
    <row r="966673" spans="3:3" x14ac:dyDescent="0.25">
      <c r="C966673" s="10" t="s">
        <v>227</v>
      </c>
    </row>
    <row r="966674" spans="3:3" x14ac:dyDescent="0.25">
      <c r="C966674" s="10" t="s">
        <v>228</v>
      </c>
    </row>
    <row r="966675" spans="3:3" x14ac:dyDescent="0.25">
      <c r="C966675" s="10" t="s">
        <v>229</v>
      </c>
    </row>
    <row r="966676" spans="3:3" x14ac:dyDescent="0.25">
      <c r="C966676" s="12">
        <v>0.05</v>
      </c>
    </row>
    <row r="966677" spans="3:3" x14ac:dyDescent="0.25">
      <c r="C966677" s="10" t="s">
        <v>230</v>
      </c>
    </row>
    <row r="966678" spans="3:3" x14ac:dyDescent="0.25">
      <c r="C966678" s="10" t="s">
        <v>231</v>
      </c>
    </row>
    <row r="966679" spans="3:3" x14ac:dyDescent="0.25">
      <c r="C966679" s="10">
        <v>16</v>
      </c>
    </row>
    <row r="966680" spans="3:3" x14ac:dyDescent="0.25">
      <c r="C966680" s="10">
        <v>12</v>
      </c>
    </row>
    <row r="966681" spans="3:3" x14ac:dyDescent="0.25">
      <c r="C966681" s="10">
        <v>14</v>
      </c>
    </row>
    <row r="966682" spans="3:3" x14ac:dyDescent="0.25">
      <c r="C966682" s="10">
        <v>12</v>
      </c>
    </row>
    <row r="966683" spans="3:3" x14ac:dyDescent="0.25">
      <c r="C966683" s="10">
        <v>8</v>
      </c>
    </row>
    <row r="966684" spans="3:3" x14ac:dyDescent="0.25">
      <c r="C966684" s="10">
        <v>2</v>
      </c>
    </row>
    <row r="966685" spans="3:3" x14ac:dyDescent="0.25">
      <c r="C966685" s="10">
        <v>18</v>
      </c>
    </row>
    <row r="966686" spans="3:3" x14ac:dyDescent="0.25">
      <c r="C966686" s="10">
        <v>17</v>
      </c>
    </row>
    <row r="966687" spans="3:3" x14ac:dyDescent="0.25">
      <c r="C966687" s="10">
        <v>3</v>
      </c>
    </row>
    <row r="966688" spans="3:3" x14ac:dyDescent="0.25">
      <c r="C966688" s="10">
        <v>2</v>
      </c>
    </row>
    <row r="966689" spans="3:3" x14ac:dyDescent="0.25">
      <c r="C966689" s="10">
        <v>9</v>
      </c>
    </row>
    <row r="966690" spans="3:3" x14ac:dyDescent="0.25">
      <c r="C966690" s="10">
        <v>9</v>
      </c>
    </row>
    <row r="966691" spans="3:3" x14ac:dyDescent="0.25">
      <c r="C966691" s="10">
        <v>7</v>
      </c>
    </row>
    <row r="966692" spans="3:3" x14ac:dyDescent="0.25">
      <c r="C966692" s="10">
        <v>7</v>
      </c>
    </row>
    <row r="966693" spans="3:3" x14ac:dyDescent="0.25">
      <c r="C966693" s="10">
        <v>136</v>
      </c>
    </row>
    <row r="983041" spans="3:3" ht="30" x14ac:dyDescent="0.25">
      <c r="C983041" s="10" t="s">
        <v>214</v>
      </c>
    </row>
    <row r="983042" spans="3:3" x14ac:dyDescent="0.25">
      <c r="C983042" s="10" t="s">
        <v>215</v>
      </c>
    </row>
    <row r="983043" spans="3:3" x14ac:dyDescent="0.25">
      <c r="C983043" s="11">
        <v>42166</v>
      </c>
    </row>
    <row r="983044" spans="3:3" x14ac:dyDescent="0.25">
      <c r="C983044" s="10" t="s">
        <v>216</v>
      </c>
    </row>
    <row r="983045" spans="3:3" ht="30" x14ac:dyDescent="0.25">
      <c r="C983045" s="10" t="s">
        <v>217</v>
      </c>
    </row>
    <row r="983046" spans="3:3" x14ac:dyDescent="0.25">
      <c r="C983046" s="10" t="s">
        <v>218</v>
      </c>
    </row>
    <row r="983047" spans="3:3" x14ac:dyDescent="0.25">
      <c r="C983047" s="10" t="s">
        <v>218</v>
      </c>
    </row>
    <row r="983048" spans="3:3" x14ac:dyDescent="0.25">
      <c r="C983048" s="10" t="s">
        <v>219</v>
      </c>
    </row>
    <row r="983049" spans="3:3" x14ac:dyDescent="0.25">
      <c r="C983049" s="10" t="s">
        <v>220</v>
      </c>
    </row>
    <row r="983050" spans="3:3" x14ac:dyDescent="0.25">
      <c r="C983050" s="10" t="s">
        <v>221</v>
      </c>
    </row>
    <row r="983051" spans="3:3" x14ac:dyDescent="0.25">
      <c r="C983051" s="10" t="s">
        <v>222</v>
      </c>
    </row>
    <row r="983052" spans="3:3" x14ac:dyDescent="0.25">
      <c r="C983052" s="10" t="s">
        <v>183</v>
      </c>
    </row>
    <row r="983053" spans="3:3" ht="30" x14ac:dyDescent="0.25">
      <c r="C983053" s="10" t="s">
        <v>223</v>
      </c>
    </row>
    <row r="983054" spans="3:3" x14ac:dyDescent="0.25">
      <c r="C983054" s="10" t="s">
        <v>224</v>
      </c>
    </row>
    <row r="983055" spans="3:3" x14ac:dyDescent="0.25">
      <c r="C983055" s="10" t="s">
        <v>225</v>
      </c>
    </row>
    <row r="983056" spans="3:3" x14ac:dyDescent="0.25">
      <c r="C983056" s="10" t="s">
        <v>226</v>
      </c>
    </row>
    <row r="983057" spans="3:3" x14ac:dyDescent="0.25">
      <c r="C983057" s="10" t="s">
        <v>227</v>
      </c>
    </row>
    <row r="983058" spans="3:3" x14ac:dyDescent="0.25">
      <c r="C983058" s="10" t="s">
        <v>228</v>
      </c>
    </row>
    <row r="983059" spans="3:3" x14ac:dyDescent="0.25">
      <c r="C983059" s="10" t="s">
        <v>229</v>
      </c>
    </row>
    <row r="983060" spans="3:3" x14ac:dyDescent="0.25">
      <c r="C983060" s="12">
        <v>0.05</v>
      </c>
    </row>
    <row r="983061" spans="3:3" x14ac:dyDescent="0.25">
      <c r="C983061" s="10" t="s">
        <v>230</v>
      </c>
    </row>
    <row r="983062" spans="3:3" x14ac:dyDescent="0.25">
      <c r="C983062" s="10" t="s">
        <v>231</v>
      </c>
    </row>
    <row r="983063" spans="3:3" x14ac:dyDescent="0.25">
      <c r="C983063" s="10">
        <v>16</v>
      </c>
    </row>
    <row r="983064" spans="3:3" x14ac:dyDescent="0.25">
      <c r="C983064" s="10">
        <v>12</v>
      </c>
    </row>
    <row r="983065" spans="3:3" x14ac:dyDescent="0.25">
      <c r="C983065" s="10">
        <v>14</v>
      </c>
    </row>
    <row r="983066" spans="3:3" x14ac:dyDescent="0.25">
      <c r="C983066" s="10">
        <v>12</v>
      </c>
    </row>
    <row r="983067" spans="3:3" x14ac:dyDescent="0.25">
      <c r="C983067" s="10">
        <v>8</v>
      </c>
    </row>
    <row r="983068" spans="3:3" x14ac:dyDescent="0.25">
      <c r="C983068" s="10">
        <v>2</v>
      </c>
    </row>
    <row r="983069" spans="3:3" x14ac:dyDescent="0.25">
      <c r="C983069" s="10">
        <v>18</v>
      </c>
    </row>
    <row r="983070" spans="3:3" x14ac:dyDescent="0.25">
      <c r="C983070" s="10">
        <v>17</v>
      </c>
    </row>
    <row r="983071" spans="3:3" x14ac:dyDescent="0.25">
      <c r="C983071" s="10">
        <v>3</v>
      </c>
    </row>
    <row r="983072" spans="3:3" x14ac:dyDescent="0.25">
      <c r="C983072" s="10">
        <v>2</v>
      </c>
    </row>
    <row r="983073" spans="3:3" x14ac:dyDescent="0.25">
      <c r="C983073" s="10">
        <v>9</v>
      </c>
    </row>
    <row r="983074" spans="3:3" x14ac:dyDescent="0.25">
      <c r="C983074" s="10">
        <v>9</v>
      </c>
    </row>
    <row r="983075" spans="3:3" x14ac:dyDescent="0.25">
      <c r="C983075" s="10">
        <v>7</v>
      </c>
    </row>
    <row r="983076" spans="3:3" x14ac:dyDescent="0.25">
      <c r="C983076" s="10">
        <v>7</v>
      </c>
    </row>
    <row r="983077" spans="3:3" x14ac:dyDescent="0.25">
      <c r="C983077" s="10">
        <v>136</v>
      </c>
    </row>
    <row r="999425" spans="3:3" ht="30" x14ac:dyDescent="0.25">
      <c r="C999425" s="10" t="s">
        <v>214</v>
      </c>
    </row>
    <row r="999426" spans="3:3" x14ac:dyDescent="0.25">
      <c r="C999426" s="10" t="s">
        <v>215</v>
      </c>
    </row>
    <row r="999427" spans="3:3" x14ac:dyDescent="0.25">
      <c r="C999427" s="11">
        <v>42166</v>
      </c>
    </row>
    <row r="999428" spans="3:3" x14ac:dyDescent="0.25">
      <c r="C999428" s="10" t="s">
        <v>216</v>
      </c>
    </row>
    <row r="999429" spans="3:3" ht="30" x14ac:dyDescent="0.25">
      <c r="C999429" s="10" t="s">
        <v>217</v>
      </c>
    </row>
    <row r="999430" spans="3:3" x14ac:dyDescent="0.25">
      <c r="C999430" s="10" t="s">
        <v>218</v>
      </c>
    </row>
    <row r="999431" spans="3:3" x14ac:dyDescent="0.25">
      <c r="C999431" s="10" t="s">
        <v>218</v>
      </c>
    </row>
    <row r="999432" spans="3:3" x14ac:dyDescent="0.25">
      <c r="C999432" s="10" t="s">
        <v>219</v>
      </c>
    </row>
    <row r="999433" spans="3:3" x14ac:dyDescent="0.25">
      <c r="C999433" s="10" t="s">
        <v>220</v>
      </c>
    </row>
    <row r="999434" spans="3:3" x14ac:dyDescent="0.25">
      <c r="C999434" s="10" t="s">
        <v>221</v>
      </c>
    </row>
    <row r="999435" spans="3:3" x14ac:dyDescent="0.25">
      <c r="C999435" s="10" t="s">
        <v>222</v>
      </c>
    </row>
    <row r="999436" spans="3:3" x14ac:dyDescent="0.25">
      <c r="C999436" s="10" t="s">
        <v>183</v>
      </c>
    </row>
    <row r="999437" spans="3:3" ht="30" x14ac:dyDescent="0.25">
      <c r="C999437" s="10" t="s">
        <v>223</v>
      </c>
    </row>
    <row r="999438" spans="3:3" x14ac:dyDescent="0.25">
      <c r="C999438" s="10" t="s">
        <v>224</v>
      </c>
    </row>
    <row r="999439" spans="3:3" x14ac:dyDescent="0.25">
      <c r="C999439" s="10" t="s">
        <v>225</v>
      </c>
    </row>
    <row r="999440" spans="3:3" x14ac:dyDescent="0.25">
      <c r="C999440" s="10" t="s">
        <v>226</v>
      </c>
    </row>
    <row r="999441" spans="3:3" x14ac:dyDescent="0.25">
      <c r="C999441" s="10" t="s">
        <v>227</v>
      </c>
    </row>
    <row r="999442" spans="3:3" x14ac:dyDescent="0.25">
      <c r="C999442" s="10" t="s">
        <v>228</v>
      </c>
    </row>
    <row r="999443" spans="3:3" x14ac:dyDescent="0.25">
      <c r="C999443" s="10" t="s">
        <v>229</v>
      </c>
    </row>
    <row r="999444" spans="3:3" x14ac:dyDescent="0.25">
      <c r="C999444" s="12">
        <v>0.05</v>
      </c>
    </row>
    <row r="999445" spans="3:3" x14ac:dyDescent="0.25">
      <c r="C999445" s="10" t="s">
        <v>230</v>
      </c>
    </row>
    <row r="999446" spans="3:3" x14ac:dyDescent="0.25">
      <c r="C999446" s="10" t="s">
        <v>231</v>
      </c>
    </row>
    <row r="999447" spans="3:3" x14ac:dyDescent="0.25">
      <c r="C999447" s="10">
        <v>16</v>
      </c>
    </row>
    <row r="999448" spans="3:3" x14ac:dyDescent="0.25">
      <c r="C999448" s="10">
        <v>12</v>
      </c>
    </row>
    <row r="999449" spans="3:3" x14ac:dyDescent="0.25">
      <c r="C999449" s="10">
        <v>14</v>
      </c>
    </row>
    <row r="999450" spans="3:3" x14ac:dyDescent="0.25">
      <c r="C999450" s="10">
        <v>12</v>
      </c>
    </row>
    <row r="999451" spans="3:3" x14ac:dyDescent="0.25">
      <c r="C999451" s="10">
        <v>8</v>
      </c>
    </row>
    <row r="999452" spans="3:3" x14ac:dyDescent="0.25">
      <c r="C999452" s="10">
        <v>2</v>
      </c>
    </row>
    <row r="999453" spans="3:3" x14ac:dyDescent="0.25">
      <c r="C999453" s="10">
        <v>18</v>
      </c>
    </row>
    <row r="999454" spans="3:3" x14ac:dyDescent="0.25">
      <c r="C999454" s="10">
        <v>17</v>
      </c>
    </row>
    <row r="999455" spans="3:3" x14ac:dyDescent="0.25">
      <c r="C999455" s="10">
        <v>3</v>
      </c>
    </row>
    <row r="999456" spans="3:3" x14ac:dyDescent="0.25">
      <c r="C999456" s="10">
        <v>2</v>
      </c>
    </row>
    <row r="999457" spans="3:3" x14ac:dyDescent="0.25">
      <c r="C999457" s="10">
        <v>9</v>
      </c>
    </row>
    <row r="999458" spans="3:3" x14ac:dyDescent="0.25">
      <c r="C999458" s="10">
        <v>9</v>
      </c>
    </row>
    <row r="999459" spans="3:3" x14ac:dyDescent="0.25">
      <c r="C999459" s="10">
        <v>7</v>
      </c>
    </row>
    <row r="999460" spans="3:3" x14ac:dyDescent="0.25">
      <c r="C999460" s="10">
        <v>7</v>
      </c>
    </row>
    <row r="999461" spans="3:3" x14ac:dyDescent="0.25">
      <c r="C999461" s="10">
        <v>136</v>
      </c>
    </row>
    <row r="1015809" spans="3:3" ht="30" x14ac:dyDescent="0.25">
      <c r="C1015809" s="10" t="s">
        <v>214</v>
      </c>
    </row>
    <row r="1015810" spans="3:3" x14ac:dyDescent="0.25">
      <c r="C1015810" s="10" t="s">
        <v>215</v>
      </c>
    </row>
    <row r="1015811" spans="3:3" x14ac:dyDescent="0.25">
      <c r="C1015811" s="11">
        <v>42166</v>
      </c>
    </row>
    <row r="1015812" spans="3:3" x14ac:dyDescent="0.25">
      <c r="C1015812" s="10" t="s">
        <v>216</v>
      </c>
    </row>
    <row r="1015813" spans="3:3" ht="30" x14ac:dyDescent="0.25">
      <c r="C1015813" s="10" t="s">
        <v>217</v>
      </c>
    </row>
    <row r="1015814" spans="3:3" x14ac:dyDescent="0.25">
      <c r="C1015814" s="10" t="s">
        <v>218</v>
      </c>
    </row>
    <row r="1015815" spans="3:3" x14ac:dyDescent="0.25">
      <c r="C1015815" s="10" t="s">
        <v>218</v>
      </c>
    </row>
    <row r="1015816" spans="3:3" x14ac:dyDescent="0.25">
      <c r="C1015816" s="10" t="s">
        <v>219</v>
      </c>
    </row>
    <row r="1015817" spans="3:3" x14ac:dyDescent="0.25">
      <c r="C1015817" s="10" t="s">
        <v>220</v>
      </c>
    </row>
    <row r="1015818" spans="3:3" x14ac:dyDescent="0.25">
      <c r="C1015818" s="10" t="s">
        <v>221</v>
      </c>
    </row>
    <row r="1015819" spans="3:3" x14ac:dyDescent="0.25">
      <c r="C1015819" s="10" t="s">
        <v>222</v>
      </c>
    </row>
    <row r="1015820" spans="3:3" x14ac:dyDescent="0.25">
      <c r="C1015820" s="10" t="s">
        <v>183</v>
      </c>
    </row>
    <row r="1015821" spans="3:3" ht="30" x14ac:dyDescent="0.25">
      <c r="C1015821" s="10" t="s">
        <v>223</v>
      </c>
    </row>
    <row r="1015822" spans="3:3" x14ac:dyDescent="0.25">
      <c r="C1015822" s="10" t="s">
        <v>224</v>
      </c>
    </row>
    <row r="1015823" spans="3:3" x14ac:dyDescent="0.25">
      <c r="C1015823" s="10" t="s">
        <v>225</v>
      </c>
    </row>
    <row r="1015824" spans="3:3" x14ac:dyDescent="0.25">
      <c r="C1015824" s="10" t="s">
        <v>226</v>
      </c>
    </row>
    <row r="1015825" spans="3:3" x14ac:dyDescent="0.25">
      <c r="C1015825" s="10" t="s">
        <v>227</v>
      </c>
    </row>
    <row r="1015826" spans="3:3" x14ac:dyDescent="0.25">
      <c r="C1015826" s="10" t="s">
        <v>228</v>
      </c>
    </row>
    <row r="1015827" spans="3:3" x14ac:dyDescent="0.25">
      <c r="C1015827" s="10" t="s">
        <v>229</v>
      </c>
    </row>
    <row r="1015828" spans="3:3" x14ac:dyDescent="0.25">
      <c r="C1015828" s="12">
        <v>0.05</v>
      </c>
    </row>
    <row r="1015829" spans="3:3" x14ac:dyDescent="0.25">
      <c r="C1015829" s="10" t="s">
        <v>230</v>
      </c>
    </row>
    <row r="1015830" spans="3:3" x14ac:dyDescent="0.25">
      <c r="C1015830" s="10" t="s">
        <v>231</v>
      </c>
    </row>
    <row r="1015831" spans="3:3" x14ac:dyDescent="0.25">
      <c r="C1015831" s="10">
        <v>16</v>
      </c>
    </row>
    <row r="1015832" spans="3:3" x14ac:dyDescent="0.25">
      <c r="C1015832" s="10">
        <v>12</v>
      </c>
    </row>
    <row r="1015833" spans="3:3" x14ac:dyDescent="0.25">
      <c r="C1015833" s="10">
        <v>14</v>
      </c>
    </row>
    <row r="1015834" spans="3:3" x14ac:dyDescent="0.25">
      <c r="C1015834" s="10">
        <v>12</v>
      </c>
    </row>
    <row r="1015835" spans="3:3" x14ac:dyDescent="0.25">
      <c r="C1015835" s="10">
        <v>8</v>
      </c>
    </row>
    <row r="1015836" spans="3:3" x14ac:dyDescent="0.25">
      <c r="C1015836" s="10">
        <v>2</v>
      </c>
    </row>
    <row r="1015837" spans="3:3" x14ac:dyDescent="0.25">
      <c r="C1015837" s="10">
        <v>18</v>
      </c>
    </row>
    <row r="1015838" spans="3:3" x14ac:dyDescent="0.25">
      <c r="C1015838" s="10">
        <v>17</v>
      </c>
    </row>
    <row r="1015839" spans="3:3" x14ac:dyDescent="0.25">
      <c r="C1015839" s="10">
        <v>3</v>
      </c>
    </row>
    <row r="1015840" spans="3:3" x14ac:dyDescent="0.25">
      <c r="C1015840" s="10">
        <v>2</v>
      </c>
    </row>
    <row r="1015841" spans="3:3" x14ac:dyDescent="0.25">
      <c r="C1015841" s="10">
        <v>9</v>
      </c>
    </row>
    <row r="1015842" spans="3:3" x14ac:dyDescent="0.25">
      <c r="C1015842" s="10">
        <v>9</v>
      </c>
    </row>
    <row r="1015843" spans="3:3" x14ac:dyDescent="0.25">
      <c r="C1015843" s="10">
        <v>7</v>
      </c>
    </row>
    <row r="1015844" spans="3:3" x14ac:dyDescent="0.25">
      <c r="C1015844" s="10">
        <v>7</v>
      </c>
    </row>
    <row r="1015845" spans="3:3" x14ac:dyDescent="0.25">
      <c r="C1015845" s="10">
        <v>136</v>
      </c>
    </row>
    <row r="1032193" spans="3:3" ht="30" x14ac:dyDescent="0.25">
      <c r="C1032193" s="10" t="s">
        <v>214</v>
      </c>
    </row>
    <row r="1032194" spans="3:3" x14ac:dyDescent="0.25">
      <c r="C1032194" s="10" t="s">
        <v>215</v>
      </c>
    </row>
    <row r="1032195" spans="3:3" x14ac:dyDescent="0.25">
      <c r="C1032195" s="11">
        <v>42166</v>
      </c>
    </row>
    <row r="1032196" spans="3:3" x14ac:dyDescent="0.25">
      <c r="C1032196" s="10" t="s">
        <v>216</v>
      </c>
    </row>
    <row r="1032197" spans="3:3" ht="30" x14ac:dyDescent="0.25">
      <c r="C1032197" s="10" t="s">
        <v>217</v>
      </c>
    </row>
    <row r="1032198" spans="3:3" x14ac:dyDescent="0.25">
      <c r="C1032198" s="10" t="s">
        <v>218</v>
      </c>
    </row>
    <row r="1032199" spans="3:3" x14ac:dyDescent="0.25">
      <c r="C1032199" s="10" t="s">
        <v>218</v>
      </c>
    </row>
    <row r="1032200" spans="3:3" x14ac:dyDescent="0.25">
      <c r="C1032200" s="10" t="s">
        <v>219</v>
      </c>
    </row>
    <row r="1032201" spans="3:3" x14ac:dyDescent="0.25">
      <c r="C1032201" s="10" t="s">
        <v>220</v>
      </c>
    </row>
    <row r="1032202" spans="3:3" x14ac:dyDescent="0.25">
      <c r="C1032202" s="10" t="s">
        <v>221</v>
      </c>
    </row>
    <row r="1032203" spans="3:3" x14ac:dyDescent="0.25">
      <c r="C1032203" s="10" t="s">
        <v>222</v>
      </c>
    </row>
    <row r="1032204" spans="3:3" x14ac:dyDescent="0.25">
      <c r="C1032204" s="10" t="s">
        <v>183</v>
      </c>
    </row>
    <row r="1032205" spans="3:3" ht="30" x14ac:dyDescent="0.25">
      <c r="C1032205" s="10" t="s">
        <v>223</v>
      </c>
    </row>
    <row r="1032206" spans="3:3" x14ac:dyDescent="0.25">
      <c r="C1032206" s="10" t="s">
        <v>224</v>
      </c>
    </row>
    <row r="1032207" spans="3:3" x14ac:dyDescent="0.25">
      <c r="C1032207" s="10" t="s">
        <v>225</v>
      </c>
    </row>
    <row r="1032208" spans="3:3" x14ac:dyDescent="0.25">
      <c r="C1032208" s="10" t="s">
        <v>226</v>
      </c>
    </row>
    <row r="1032209" spans="3:3" x14ac:dyDescent="0.25">
      <c r="C1032209" s="10" t="s">
        <v>227</v>
      </c>
    </row>
    <row r="1032210" spans="3:3" x14ac:dyDescent="0.25">
      <c r="C1032210" s="10" t="s">
        <v>228</v>
      </c>
    </row>
    <row r="1032211" spans="3:3" x14ac:dyDescent="0.25">
      <c r="C1032211" s="10" t="s">
        <v>229</v>
      </c>
    </row>
    <row r="1032212" spans="3:3" x14ac:dyDescent="0.25">
      <c r="C1032212" s="12">
        <v>0.05</v>
      </c>
    </row>
    <row r="1032213" spans="3:3" x14ac:dyDescent="0.25">
      <c r="C1032213" s="10" t="s">
        <v>230</v>
      </c>
    </row>
    <row r="1032214" spans="3:3" x14ac:dyDescent="0.25">
      <c r="C1032214" s="10" t="s">
        <v>231</v>
      </c>
    </row>
    <row r="1032215" spans="3:3" x14ac:dyDescent="0.25">
      <c r="C1032215" s="10">
        <v>16</v>
      </c>
    </row>
    <row r="1032216" spans="3:3" x14ac:dyDescent="0.25">
      <c r="C1032216" s="10">
        <v>12</v>
      </c>
    </row>
    <row r="1032217" spans="3:3" x14ac:dyDescent="0.25">
      <c r="C1032217" s="10">
        <v>14</v>
      </c>
    </row>
    <row r="1032218" spans="3:3" x14ac:dyDescent="0.25">
      <c r="C1032218" s="10">
        <v>12</v>
      </c>
    </row>
    <row r="1032219" spans="3:3" x14ac:dyDescent="0.25">
      <c r="C1032219" s="10">
        <v>8</v>
      </c>
    </row>
    <row r="1032220" spans="3:3" x14ac:dyDescent="0.25">
      <c r="C1032220" s="10">
        <v>2</v>
      </c>
    </row>
    <row r="1032221" spans="3:3" x14ac:dyDescent="0.25">
      <c r="C1032221" s="10">
        <v>18</v>
      </c>
    </row>
    <row r="1032222" spans="3:3" x14ac:dyDescent="0.25">
      <c r="C1032222" s="10">
        <v>17</v>
      </c>
    </row>
    <row r="1032223" spans="3:3" x14ac:dyDescent="0.25">
      <c r="C1032223" s="10">
        <v>3</v>
      </c>
    </row>
    <row r="1032224" spans="3:3" x14ac:dyDescent="0.25">
      <c r="C1032224" s="10">
        <v>2</v>
      </c>
    </row>
    <row r="1032225" spans="3:3" x14ac:dyDescent="0.25">
      <c r="C1032225" s="10">
        <v>9</v>
      </c>
    </row>
    <row r="1032226" spans="3:3" x14ac:dyDescent="0.25">
      <c r="C1032226" s="10">
        <v>9</v>
      </c>
    </row>
    <row r="1032227" spans="3:3" x14ac:dyDescent="0.25">
      <c r="C1032227" s="10">
        <v>7</v>
      </c>
    </row>
    <row r="1032228" spans="3:3" x14ac:dyDescent="0.25">
      <c r="C1032228" s="10">
        <v>7</v>
      </c>
    </row>
    <row r="1032229" spans="3:3" x14ac:dyDescent="0.25">
      <c r="C1032229" s="10">
        <v>136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05EC4-C955-4D66-88F4-DBB5BD7F8412}">
  <sheetPr codeName="Sheet2"/>
  <dimension ref="A1:K188"/>
  <sheetViews>
    <sheetView showGridLines="0" tabSelected="1" topLeftCell="A154" zoomScale="120" zoomScaleNormal="120" workbookViewId="0">
      <selection activeCell="G143" sqref="G143"/>
    </sheetView>
  </sheetViews>
  <sheetFormatPr defaultRowHeight="15" x14ac:dyDescent="0.25"/>
  <cols>
    <col min="1" max="1" width="22.5703125" customWidth="1"/>
    <col min="2" max="2" width="39.85546875" bestFit="1" customWidth="1"/>
    <col min="3" max="3" width="14.42578125" customWidth="1"/>
    <col min="4" max="4" width="13.42578125" bestFit="1" customWidth="1"/>
    <col min="5" max="5" width="22.42578125" customWidth="1"/>
    <col min="6" max="6" width="15.5703125" customWidth="1"/>
    <col min="7" max="7" width="15.7109375" customWidth="1"/>
    <col min="8" max="8" width="19.42578125" customWidth="1"/>
    <col min="9" max="9" width="16" customWidth="1"/>
  </cols>
  <sheetData>
    <row r="1" spans="1:10" ht="18.75" x14ac:dyDescent="0.3">
      <c r="A1" s="17" t="s">
        <v>246</v>
      </c>
      <c r="B1" s="14"/>
      <c r="C1" s="14"/>
      <c r="D1" s="14"/>
      <c r="E1" s="14"/>
      <c r="F1" s="14"/>
      <c r="G1" s="14"/>
      <c r="H1" s="14"/>
    </row>
    <row r="2" spans="1:10" ht="15.75" thickBot="1" x14ac:dyDescent="0.3"/>
    <row r="3" spans="1:10" x14ac:dyDescent="0.25">
      <c r="B3" s="19" t="s">
        <v>0</v>
      </c>
      <c r="C3" s="63" t="s">
        <v>1</v>
      </c>
      <c r="D3" s="64" t="s">
        <v>2</v>
      </c>
    </row>
    <row r="4" spans="1:10" x14ac:dyDescent="0.25">
      <c r="B4" s="49" t="s">
        <v>3</v>
      </c>
      <c r="C4" s="65">
        <v>43272</v>
      </c>
      <c r="D4" s="66">
        <v>43272</v>
      </c>
    </row>
    <row r="5" spans="1:10" ht="15.75" thickBot="1" x14ac:dyDescent="0.3">
      <c r="B5" s="50" t="s">
        <v>4</v>
      </c>
      <c r="C5" s="67" t="s">
        <v>244</v>
      </c>
      <c r="D5" s="68" t="s">
        <v>244</v>
      </c>
      <c r="E5" s="16" t="s">
        <v>245</v>
      </c>
    </row>
    <row r="6" spans="1:10" ht="15.75" thickBot="1" x14ac:dyDescent="0.3">
      <c r="A6" s="77" t="s">
        <v>301</v>
      </c>
    </row>
    <row r="7" spans="1:10" ht="15.75" thickBot="1" x14ac:dyDescent="0.3">
      <c r="A7" s="19" t="s">
        <v>250</v>
      </c>
      <c r="B7" s="20" t="s">
        <v>251</v>
      </c>
      <c r="C7" s="62" t="s">
        <v>235</v>
      </c>
      <c r="D7" s="62" t="s">
        <v>236</v>
      </c>
      <c r="E7" s="20" t="s">
        <v>237</v>
      </c>
      <c r="F7" s="20" t="s">
        <v>238</v>
      </c>
      <c r="G7" s="20" t="s">
        <v>239</v>
      </c>
      <c r="H7" s="47" t="s">
        <v>233</v>
      </c>
      <c r="I7" s="45" t="s">
        <v>253</v>
      </c>
    </row>
    <row r="8" spans="1:10" x14ac:dyDescent="0.25">
      <c r="A8" s="21" t="s">
        <v>6</v>
      </c>
      <c r="B8" s="55"/>
      <c r="C8" s="69"/>
      <c r="D8" s="70"/>
      <c r="E8" s="59"/>
      <c r="F8" s="18">
        <f t="shared" ref="F8:G39" si="0">C8*$E8</f>
        <v>0</v>
      </c>
      <c r="G8" s="18">
        <f>D8*$E$8</f>
        <v>0</v>
      </c>
      <c r="H8" s="18">
        <v>0</v>
      </c>
      <c r="I8" s="22">
        <v>0</v>
      </c>
      <c r="J8" s="13"/>
    </row>
    <row r="9" spans="1:10" x14ac:dyDescent="0.25">
      <c r="A9" s="23" t="s">
        <v>7</v>
      </c>
      <c r="B9" s="56" t="s">
        <v>8</v>
      </c>
      <c r="C9" s="71"/>
      <c r="D9" s="72">
        <v>2</v>
      </c>
      <c r="E9" s="60">
        <v>4</v>
      </c>
      <c r="F9" s="1">
        <f t="shared" si="0"/>
        <v>0</v>
      </c>
      <c r="G9" s="1">
        <f t="shared" si="0"/>
        <v>8</v>
      </c>
      <c r="H9" s="46">
        <v>0</v>
      </c>
      <c r="I9" s="48">
        <v>0</v>
      </c>
    </row>
    <row r="10" spans="1:10" x14ac:dyDescent="0.25">
      <c r="A10" s="21" t="s">
        <v>9</v>
      </c>
      <c r="B10" s="55"/>
      <c r="C10" s="73"/>
      <c r="D10" s="74"/>
      <c r="E10" s="59"/>
      <c r="F10" s="18">
        <f t="shared" si="0"/>
        <v>0</v>
      </c>
      <c r="G10" s="18">
        <f t="shared" si="0"/>
        <v>0</v>
      </c>
      <c r="H10" s="18">
        <v>0</v>
      </c>
      <c r="I10" s="22">
        <v>0</v>
      </c>
    </row>
    <row r="11" spans="1:10" x14ac:dyDescent="0.25">
      <c r="A11" s="23" t="s">
        <v>10</v>
      </c>
      <c r="B11" s="56"/>
      <c r="C11" s="71"/>
      <c r="D11" s="72"/>
      <c r="E11" s="60"/>
      <c r="F11" s="1">
        <f t="shared" si="0"/>
        <v>0</v>
      </c>
      <c r="G11" s="1">
        <f t="shared" si="0"/>
        <v>0</v>
      </c>
      <c r="H11" s="46">
        <v>0</v>
      </c>
      <c r="I11" s="48">
        <v>0</v>
      </c>
    </row>
    <row r="12" spans="1:10" x14ac:dyDescent="0.25">
      <c r="A12" s="21" t="s">
        <v>11</v>
      </c>
      <c r="B12" s="55" t="s">
        <v>12</v>
      </c>
      <c r="C12" s="73"/>
      <c r="D12" s="74">
        <v>1</v>
      </c>
      <c r="E12" s="59">
        <v>10</v>
      </c>
      <c r="F12" s="18">
        <f t="shared" si="0"/>
        <v>0</v>
      </c>
      <c r="G12" s="18">
        <f t="shared" si="0"/>
        <v>10</v>
      </c>
      <c r="H12" s="18">
        <v>0</v>
      </c>
      <c r="I12" s="22">
        <v>0</v>
      </c>
    </row>
    <row r="13" spans="1:10" x14ac:dyDescent="0.25">
      <c r="A13" s="21" t="s">
        <v>11</v>
      </c>
      <c r="B13" s="55" t="s">
        <v>13</v>
      </c>
      <c r="C13" s="73">
        <v>1</v>
      </c>
      <c r="D13" s="74"/>
      <c r="E13" s="59">
        <v>8</v>
      </c>
      <c r="F13" s="18">
        <f t="shared" si="0"/>
        <v>8</v>
      </c>
      <c r="G13" s="18">
        <f t="shared" si="0"/>
        <v>0</v>
      </c>
      <c r="H13" s="18">
        <v>0</v>
      </c>
      <c r="I13" s="22">
        <v>0</v>
      </c>
    </row>
    <row r="14" spans="1:10" x14ac:dyDescent="0.25">
      <c r="A14" s="23" t="s">
        <v>14</v>
      </c>
      <c r="B14" s="56" t="s">
        <v>15</v>
      </c>
      <c r="C14" s="71"/>
      <c r="D14" s="72">
        <v>1</v>
      </c>
      <c r="E14" s="60">
        <v>6</v>
      </c>
      <c r="F14" s="1">
        <f t="shared" si="0"/>
        <v>0</v>
      </c>
      <c r="G14" s="1">
        <f t="shared" si="0"/>
        <v>6</v>
      </c>
      <c r="H14" s="46">
        <v>0</v>
      </c>
      <c r="I14" s="48">
        <v>0</v>
      </c>
    </row>
    <row r="15" spans="1:10" x14ac:dyDescent="0.25">
      <c r="A15" s="23" t="s">
        <v>14</v>
      </c>
      <c r="B15" s="56" t="s">
        <v>16</v>
      </c>
      <c r="C15" s="71">
        <v>10</v>
      </c>
      <c r="D15" s="72">
        <v>2</v>
      </c>
      <c r="E15" s="60">
        <v>6</v>
      </c>
      <c r="F15" s="1">
        <f t="shared" si="0"/>
        <v>60</v>
      </c>
      <c r="G15" s="1">
        <f t="shared" si="0"/>
        <v>12</v>
      </c>
      <c r="H15" s="46">
        <v>0</v>
      </c>
      <c r="I15" s="48">
        <v>0</v>
      </c>
    </row>
    <row r="16" spans="1:10" x14ac:dyDescent="0.25">
      <c r="A16" s="23" t="s">
        <v>14</v>
      </c>
      <c r="B16" s="56" t="s">
        <v>17</v>
      </c>
      <c r="C16" s="71"/>
      <c r="D16" s="72"/>
      <c r="E16" s="60"/>
      <c r="F16" s="1">
        <f t="shared" si="0"/>
        <v>0</v>
      </c>
      <c r="G16" s="1">
        <f t="shared" si="0"/>
        <v>0</v>
      </c>
      <c r="H16" s="46">
        <v>0</v>
      </c>
      <c r="I16" s="48">
        <v>0</v>
      </c>
    </row>
    <row r="17" spans="1:9" x14ac:dyDescent="0.25">
      <c r="A17" s="21" t="s">
        <v>18</v>
      </c>
      <c r="B17" s="55" t="s">
        <v>19</v>
      </c>
      <c r="C17" s="73"/>
      <c r="D17" s="74"/>
      <c r="E17" s="59"/>
      <c r="F17" s="18">
        <f t="shared" si="0"/>
        <v>0</v>
      </c>
      <c r="G17" s="18">
        <f t="shared" si="0"/>
        <v>0</v>
      </c>
      <c r="H17" s="18">
        <v>0</v>
      </c>
      <c r="I17" s="22">
        <v>0</v>
      </c>
    </row>
    <row r="18" spans="1:9" x14ac:dyDescent="0.25">
      <c r="A18" s="23" t="s">
        <v>20</v>
      </c>
      <c r="B18" s="56" t="s">
        <v>21</v>
      </c>
      <c r="C18" s="71"/>
      <c r="D18" s="72"/>
      <c r="E18" s="60"/>
      <c r="F18" s="1">
        <f t="shared" si="0"/>
        <v>0</v>
      </c>
      <c r="G18" s="1">
        <f t="shared" si="0"/>
        <v>0</v>
      </c>
      <c r="H18" s="46">
        <v>1</v>
      </c>
      <c r="I18" s="48">
        <v>0</v>
      </c>
    </row>
    <row r="19" spans="1:9" x14ac:dyDescent="0.25">
      <c r="A19" s="23" t="s">
        <v>20</v>
      </c>
      <c r="B19" s="56" t="s">
        <v>22</v>
      </c>
      <c r="C19" s="71"/>
      <c r="D19" s="72"/>
      <c r="E19" s="60"/>
      <c r="F19" s="1">
        <f t="shared" si="0"/>
        <v>0</v>
      </c>
      <c r="G19" s="1">
        <f t="shared" si="0"/>
        <v>0</v>
      </c>
      <c r="H19" s="46">
        <v>1</v>
      </c>
      <c r="I19" s="48">
        <v>0</v>
      </c>
    </row>
    <row r="20" spans="1:9" x14ac:dyDescent="0.25">
      <c r="A20" s="23" t="s">
        <v>20</v>
      </c>
      <c r="B20" s="56" t="s">
        <v>23</v>
      </c>
      <c r="C20" s="71"/>
      <c r="D20" s="72">
        <v>1</v>
      </c>
      <c r="E20" s="60">
        <v>4</v>
      </c>
      <c r="F20" s="1">
        <f t="shared" si="0"/>
        <v>0</v>
      </c>
      <c r="G20" s="1">
        <f t="shared" si="0"/>
        <v>4</v>
      </c>
      <c r="H20" s="46">
        <v>1</v>
      </c>
      <c r="I20" s="48">
        <v>0</v>
      </c>
    </row>
    <row r="21" spans="1:9" x14ac:dyDescent="0.25">
      <c r="A21" s="23" t="s">
        <v>20</v>
      </c>
      <c r="B21" s="56" t="s">
        <v>24</v>
      </c>
      <c r="C21" s="71"/>
      <c r="D21" s="72"/>
      <c r="E21" s="60"/>
      <c r="F21" s="1">
        <f t="shared" si="0"/>
        <v>0</v>
      </c>
      <c r="G21" s="1">
        <f t="shared" si="0"/>
        <v>0</v>
      </c>
      <c r="H21" s="46">
        <v>1</v>
      </c>
      <c r="I21" s="48">
        <v>0</v>
      </c>
    </row>
    <row r="22" spans="1:9" x14ac:dyDescent="0.25">
      <c r="A22" s="23" t="s">
        <v>20</v>
      </c>
      <c r="B22" s="56" t="s">
        <v>25</v>
      </c>
      <c r="C22" s="71"/>
      <c r="D22" s="72"/>
      <c r="E22" s="60"/>
      <c r="F22" s="1">
        <f t="shared" si="0"/>
        <v>0</v>
      </c>
      <c r="G22" s="1">
        <f t="shared" si="0"/>
        <v>0</v>
      </c>
      <c r="H22" s="46">
        <v>1</v>
      </c>
      <c r="I22" s="48">
        <v>0</v>
      </c>
    </row>
    <row r="23" spans="1:9" x14ac:dyDescent="0.25">
      <c r="A23" s="23" t="s">
        <v>20</v>
      </c>
      <c r="B23" s="56" t="s">
        <v>26</v>
      </c>
      <c r="C23" s="71"/>
      <c r="D23" s="72"/>
      <c r="E23" s="60"/>
      <c r="F23" s="1">
        <f t="shared" si="0"/>
        <v>0</v>
      </c>
      <c r="G23" s="1">
        <f t="shared" si="0"/>
        <v>0</v>
      </c>
      <c r="H23" s="46">
        <v>1</v>
      </c>
      <c r="I23" s="48">
        <v>0</v>
      </c>
    </row>
    <row r="24" spans="1:9" x14ac:dyDescent="0.25">
      <c r="A24" s="23" t="s">
        <v>20</v>
      </c>
      <c r="B24" s="56" t="s">
        <v>27</v>
      </c>
      <c r="C24" s="71"/>
      <c r="D24" s="72"/>
      <c r="E24" s="60"/>
      <c r="F24" s="1">
        <f t="shared" si="0"/>
        <v>0</v>
      </c>
      <c r="G24" s="1">
        <f t="shared" si="0"/>
        <v>0</v>
      </c>
      <c r="H24" s="46">
        <v>1</v>
      </c>
      <c r="I24" s="48">
        <v>0</v>
      </c>
    </row>
    <row r="25" spans="1:9" x14ac:dyDescent="0.25">
      <c r="A25" s="23" t="s">
        <v>20</v>
      </c>
      <c r="B25" s="56" t="s">
        <v>28</v>
      </c>
      <c r="C25" s="71"/>
      <c r="D25" s="72"/>
      <c r="E25" s="60"/>
      <c r="F25" s="1">
        <f t="shared" si="0"/>
        <v>0</v>
      </c>
      <c r="G25" s="1">
        <f t="shared" si="0"/>
        <v>0</v>
      </c>
      <c r="H25" s="46">
        <v>1</v>
      </c>
      <c r="I25" s="48">
        <v>0</v>
      </c>
    </row>
    <row r="26" spans="1:9" x14ac:dyDescent="0.25">
      <c r="A26" s="23" t="s">
        <v>20</v>
      </c>
      <c r="B26" s="56" t="s">
        <v>29</v>
      </c>
      <c r="C26" s="71"/>
      <c r="D26" s="72"/>
      <c r="E26" s="60"/>
      <c r="F26" s="1">
        <f t="shared" si="0"/>
        <v>0</v>
      </c>
      <c r="G26" s="1">
        <f t="shared" si="0"/>
        <v>0</v>
      </c>
      <c r="H26" s="46">
        <v>1</v>
      </c>
      <c r="I26" s="48">
        <v>0</v>
      </c>
    </row>
    <row r="27" spans="1:9" x14ac:dyDescent="0.25">
      <c r="A27" s="23" t="s">
        <v>20</v>
      </c>
      <c r="B27" s="56" t="s">
        <v>30</v>
      </c>
      <c r="C27" s="71"/>
      <c r="D27" s="72"/>
      <c r="E27" s="60"/>
      <c r="F27" s="1">
        <f t="shared" si="0"/>
        <v>0</v>
      </c>
      <c r="G27" s="1">
        <f t="shared" si="0"/>
        <v>0</v>
      </c>
      <c r="H27" s="46">
        <v>1</v>
      </c>
      <c r="I27" s="48">
        <v>0</v>
      </c>
    </row>
    <row r="28" spans="1:9" x14ac:dyDescent="0.25">
      <c r="A28" s="23" t="s">
        <v>20</v>
      </c>
      <c r="B28" s="56" t="s">
        <v>31</v>
      </c>
      <c r="C28" s="71"/>
      <c r="D28" s="72"/>
      <c r="E28" s="60"/>
      <c r="F28" s="1">
        <f t="shared" si="0"/>
        <v>0</v>
      </c>
      <c r="G28" s="1">
        <f t="shared" si="0"/>
        <v>0</v>
      </c>
      <c r="H28" s="46">
        <v>1</v>
      </c>
      <c r="I28" s="48">
        <v>0</v>
      </c>
    </row>
    <row r="29" spans="1:9" x14ac:dyDescent="0.25">
      <c r="A29" s="23" t="s">
        <v>20</v>
      </c>
      <c r="B29" s="56" t="s">
        <v>32</v>
      </c>
      <c r="C29" s="71"/>
      <c r="D29" s="72"/>
      <c r="E29" s="60"/>
      <c r="F29" s="1">
        <f t="shared" si="0"/>
        <v>0</v>
      </c>
      <c r="G29" s="1">
        <f t="shared" si="0"/>
        <v>0</v>
      </c>
      <c r="H29" s="46">
        <v>1</v>
      </c>
      <c r="I29" s="48">
        <v>0</v>
      </c>
    </row>
    <row r="30" spans="1:9" x14ac:dyDescent="0.25">
      <c r="A30" s="23" t="s">
        <v>20</v>
      </c>
      <c r="B30" s="56" t="s">
        <v>33</v>
      </c>
      <c r="C30" s="71"/>
      <c r="D30" s="72"/>
      <c r="E30" s="60"/>
      <c r="F30" s="1">
        <f t="shared" si="0"/>
        <v>0</v>
      </c>
      <c r="G30" s="1">
        <f t="shared" si="0"/>
        <v>0</v>
      </c>
      <c r="H30" s="46">
        <v>1</v>
      </c>
      <c r="I30" s="48">
        <v>0</v>
      </c>
    </row>
    <row r="31" spans="1:9" x14ac:dyDescent="0.25">
      <c r="A31" s="23" t="s">
        <v>20</v>
      </c>
      <c r="B31" s="56" t="s">
        <v>34</v>
      </c>
      <c r="C31" s="71"/>
      <c r="D31" s="72"/>
      <c r="E31" s="60"/>
      <c r="F31" s="1">
        <f t="shared" si="0"/>
        <v>0</v>
      </c>
      <c r="G31" s="1">
        <f t="shared" si="0"/>
        <v>0</v>
      </c>
      <c r="H31" s="46">
        <v>1</v>
      </c>
      <c r="I31" s="48">
        <v>0</v>
      </c>
    </row>
    <row r="32" spans="1:9" x14ac:dyDescent="0.25">
      <c r="A32" s="21" t="s">
        <v>35</v>
      </c>
      <c r="B32" s="55" t="s">
        <v>36</v>
      </c>
      <c r="C32" s="73"/>
      <c r="D32" s="74">
        <v>1</v>
      </c>
      <c r="E32" s="59">
        <v>3</v>
      </c>
      <c r="F32" s="18">
        <f t="shared" si="0"/>
        <v>0</v>
      </c>
      <c r="G32" s="18">
        <f t="shared" si="0"/>
        <v>3</v>
      </c>
      <c r="H32" s="18">
        <v>0</v>
      </c>
      <c r="I32" s="22">
        <v>0</v>
      </c>
    </row>
    <row r="33" spans="1:9" x14ac:dyDescent="0.25">
      <c r="A33" s="21" t="s">
        <v>35</v>
      </c>
      <c r="B33" s="55" t="s">
        <v>37</v>
      </c>
      <c r="C33" s="73"/>
      <c r="D33" s="74"/>
      <c r="E33" s="59"/>
      <c r="F33" s="18">
        <f t="shared" si="0"/>
        <v>0</v>
      </c>
      <c r="G33" s="18">
        <f t="shared" si="0"/>
        <v>0</v>
      </c>
      <c r="H33" s="18">
        <v>0</v>
      </c>
      <c r="I33" s="22">
        <v>0</v>
      </c>
    </row>
    <row r="34" spans="1:9" x14ac:dyDescent="0.25">
      <c r="A34" s="21" t="s">
        <v>35</v>
      </c>
      <c r="B34" s="55" t="s">
        <v>38</v>
      </c>
      <c r="C34" s="73"/>
      <c r="D34" s="74"/>
      <c r="E34" s="59"/>
      <c r="F34" s="18">
        <f t="shared" si="0"/>
        <v>0</v>
      </c>
      <c r="G34" s="18">
        <f t="shared" si="0"/>
        <v>0</v>
      </c>
      <c r="H34" s="18">
        <v>0</v>
      </c>
      <c r="I34" s="22">
        <v>0</v>
      </c>
    </row>
    <row r="35" spans="1:9" x14ac:dyDescent="0.25">
      <c r="A35" s="21" t="s">
        <v>35</v>
      </c>
      <c r="B35" s="55" t="s">
        <v>39</v>
      </c>
      <c r="C35" s="73"/>
      <c r="D35" s="74"/>
      <c r="E35" s="59"/>
      <c r="F35" s="18">
        <f t="shared" si="0"/>
        <v>0</v>
      </c>
      <c r="G35" s="18">
        <f t="shared" si="0"/>
        <v>0</v>
      </c>
      <c r="H35" s="18">
        <v>0</v>
      </c>
      <c r="I35" s="22">
        <v>0</v>
      </c>
    </row>
    <row r="36" spans="1:9" x14ac:dyDescent="0.25">
      <c r="A36" s="21" t="s">
        <v>35</v>
      </c>
      <c r="B36" s="55" t="s">
        <v>40</v>
      </c>
      <c r="C36" s="73"/>
      <c r="D36" s="74"/>
      <c r="E36" s="59"/>
      <c r="F36" s="18">
        <f t="shared" si="0"/>
        <v>0</v>
      </c>
      <c r="G36" s="18">
        <f t="shared" si="0"/>
        <v>0</v>
      </c>
      <c r="H36" s="18">
        <v>0</v>
      </c>
      <c r="I36" s="22">
        <v>0</v>
      </c>
    </row>
    <row r="37" spans="1:9" x14ac:dyDescent="0.25">
      <c r="A37" s="21" t="s">
        <v>35</v>
      </c>
      <c r="B37" s="55" t="s">
        <v>41</v>
      </c>
      <c r="C37" s="73"/>
      <c r="D37" s="74"/>
      <c r="E37" s="59"/>
      <c r="F37" s="18">
        <f t="shared" si="0"/>
        <v>0</v>
      </c>
      <c r="G37" s="18">
        <f t="shared" si="0"/>
        <v>0</v>
      </c>
      <c r="H37" s="18">
        <v>0</v>
      </c>
      <c r="I37" s="22">
        <v>0</v>
      </c>
    </row>
    <row r="38" spans="1:9" x14ac:dyDescent="0.25">
      <c r="A38" s="21" t="s">
        <v>35</v>
      </c>
      <c r="B38" s="55" t="s">
        <v>42</v>
      </c>
      <c r="C38" s="73"/>
      <c r="D38" s="74"/>
      <c r="E38" s="59"/>
      <c r="F38" s="18">
        <f t="shared" si="0"/>
        <v>0</v>
      </c>
      <c r="G38" s="18">
        <f t="shared" si="0"/>
        <v>0</v>
      </c>
      <c r="H38" s="18">
        <v>0</v>
      </c>
      <c r="I38" s="22">
        <v>0</v>
      </c>
    </row>
    <row r="39" spans="1:9" x14ac:dyDescent="0.25">
      <c r="A39" s="21" t="s">
        <v>35</v>
      </c>
      <c r="B39" s="55" t="s">
        <v>43</v>
      </c>
      <c r="C39" s="73"/>
      <c r="D39" s="74">
        <v>2</v>
      </c>
      <c r="E39" s="59">
        <v>9</v>
      </c>
      <c r="F39" s="18">
        <f t="shared" si="0"/>
        <v>0</v>
      </c>
      <c r="G39" s="18">
        <f t="shared" si="0"/>
        <v>18</v>
      </c>
      <c r="H39" s="18">
        <v>0</v>
      </c>
      <c r="I39" s="22">
        <v>0</v>
      </c>
    </row>
    <row r="40" spans="1:9" x14ac:dyDescent="0.25">
      <c r="A40" s="21" t="s">
        <v>35</v>
      </c>
      <c r="B40" s="55" t="s">
        <v>44</v>
      </c>
      <c r="C40" s="73"/>
      <c r="D40" s="74"/>
      <c r="E40" s="59"/>
      <c r="F40" s="18">
        <f t="shared" ref="F40:G71" si="1">C40*$E40</f>
        <v>0</v>
      </c>
      <c r="G40" s="18">
        <f t="shared" si="1"/>
        <v>0</v>
      </c>
      <c r="H40" s="18">
        <v>0</v>
      </c>
      <c r="I40" s="22">
        <v>0</v>
      </c>
    </row>
    <row r="41" spans="1:9" x14ac:dyDescent="0.25">
      <c r="A41" s="23" t="s">
        <v>45</v>
      </c>
      <c r="B41" s="56" t="s">
        <v>46</v>
      </c>
      <c r="C41" s="71"/>
      <c r="D41" s="72"/>
      <c r="E41" s="60"/>
      <c r="F41" s="1">
        <f t="shared" si="1"/>
        <v>0</v>
      </c>
      <c r="G41" s="1">
        <f t="shared" si="1"/>
        <v>0</v>
      </c>
      <c r="H41" s="46">
        <v>1</v>
      </c>
      <c r="I41" s="48">
        <v>0</v>
      </c>
    </row>
    <row r="42" spans="1:9" x14ac:dyDescent="0.25">
      <c r="A42" s="23" t="s">
        <v>45</v>
      </c>
      <c r="B42" s="56" t="s">
        <v>47</v>
      </c>
      <c r="C42" s="71"/>
      <c r="D42" s="72"/>
      <c r="E42" s="60"/>
      <c r="F42" s="1">
        <f t="shared" si="1"/>
        <v>0</v>
      </c>
      <c r="G42" s="1">
        <f t="shared" si="1"/>
        <v>0</v>
      </c>
      <c r="H42" s="46">
        <v>1</v>
      </c>
      <c r="I42" s="48">
        <v>0</v>
      </c>
    </row>
    <row r="43" spans="1:9" x14ac:dyDescent="0.25">
      <c r="A43" s="23" t="s">
        <v>45</v>
      </c>
      <c r="B43" s="56" t="s">
        <v>48</v>
      </c>
      <c r="C43" s="71"/>
      <c r="D43" s="72"/>
      <c r="E43" s="60"/>
      <c r="F43" s="1">
        <f t="shared" si="1"/>
        <v>0</v>
      </c>
      <c r="G43" s="1">
        <f t="shared" si="1"/>
        <v>0</v>
      </c>
      <c r="H43" s="46">
        <v>1</v>
      </c>
      <c r="I43" s="48">
        <v>0</v>
      </c>
    </row>
    <row r="44" spans="1:9" x14ac:dyDescent="0.25">
      <c r="A44" s="23" t="s">
        <v>45</v>
      </c>
      <c r="B44" s="56" t="s">
        <v>49</v>
      </c>
      <c r="C44" s="71"/>
      <c r="D44" s="72"/>
      <c r="E44" s="60"/>
      <c r="F44" s="1">
        <f t="shared" si="1"/>
        <v>0</v>
      </c>
      <c r="G44" s="1">
        <f t="shared" si="1"/>
        <v>0</v>
      </c>
      <c r="H44" s="46">
        <v>1</v>
      </c>
      <c r="I44" s="48">
        <v>0</v>
      </c>
    </row>
    <row r="45" spans="1:9" x14ac:dyDescent="0.25">
      <c r="A45" s="23" t="s">
        <v>45</v>
      </c>
      <c r="B45" s="56" t="s">
        <v>50</v>
      </c>
      <c r="C45" s="71"/>
      <c r="D45" s="72"/>
      <c r="E45" s="60"/>
      <c r="F45" s="1">
        <f t="shared" si="1"/>
        <v>0</v>
      </c>
      <c r="G45" s="1">
        <f t="shared" si="1"/>
        <v>0</v>
      </c>
      <c r="H45" s="46">
        <v>1</v>
      </c>
      <c r="I45" s="48">
        <v>0</v>
      </c>
    </row>
    <row r="46" spans="1:9" x14ac:dyDescent="0.25">
      <c r="A46" s="23" t="s">
        <v>45</v>
      </c>
      <c r="B46" s="56" t="s">
        <v>51</v>
      </c>
      <c r="C46" s="71"/>
      <c r="D46" s="72"/>
      <c r="E46" s="60"/>
      <c r="F46" s="1">
        <f t="shared" si="1"/>
        <v>0</v>
      </c>
      <c r="G46" s="1">
        <f t="shared" si="1"/>
        <v>0</v>
      </c>
      <c r="H46" s="46">
        <v>1</v>
      </c>
      <c r="I46" s="48">
        <v>0</v>
      </c>
    </row>
    <row r="47" spans="1:9" x14ac:dyDescent="0.25">
      <c r="A47" s="23" t="s">
        <v>45</v>
      </c>
      <c r="B47" s="56" t="s">
        <v>52</v>
      </c>
      <c r="C47" s="71"/>
      <c r="D47" s="72"/>
      <c r="E47" s="60"/>
      <c r="F47" s="1">
        <f t="shared" si="1"/>
        <v>0</v>
      </c>
      <c r="G47" s="1">
        <f t="shared" si="1"/>
        <v>0</v>
      </c>
      <c r="H47" s="46">
        <v>1</v>
      </c>
      <c r="I47" s="48">
        <v>0</v>
      </c>
    </row>
    <row r="48" spans="1:9" x14ac:dyDescent="0.25">
      <c r="A48" s="23" t="s">
        <v>45</v>
      </c>
      <c r="B48" s="56" t="s">
        <v>53</v>
      </c>
      <c r="C48" s="71"/>
      <c r="D48" s="72"/>
      <c r="E48" s="60"/>
      <c r="F48" s="1">
        <f t="shared" si="1"/>
        <v>0</v>
      </c>
      <c r="G48" s="1">
        <f t="shared" si="1"/>
        <v>0</v>
      </c>
      <c r="H48" s="46">
        <v>1</v>
      </c>
      <c r="I48" s="48">
        <v>0</v>
      </c>
    </row>
    <row r="49" spans="1:9" x14ac:dyDescent="0.25">
      <c r="A49" s="23" t="s">
        <v>45</v>
      </c>
      <c r="B49" s="56" t="s">
        <v>54</v>
      </c>
      <c r="C49" s="71"/>
      <c r="D49" s="72"/>
      <c r="E49" s="60"/>
      <c r="F49" s="1">
        <f t="shared" si="1"/>
        <v>0</v>
      </c>
      <c r="G49" s="1">
        <f t="shared" si="1"/>
        <v>0</v>
      </c>
      <c r="H49" s="46">
        <v>1</v>
      </c>
      <c r="I49" s="48">
        <v>0</v>
      </c>
    </row>
    <row r="50" spans="1:9" x14ac:dyDescent="0.25">
      <c r="A50" s="21" t="s">
        <v>55</v>
      </c>
      <c r="B50" s="55" t="s">
        <v>56</v>
      </c>
      <c r="C50" s="73"/>
      <c r="D50" s="74"/>
      <c r="E50" s="59"/>
      <c r="F50" s="18">
        <f t="shared" si="1"/>
        <v>0</v>
      </c>
      <c r="G50" s="18">
        <f t="shared" si="1"/>
        <v>0</v>
      </c>
      <c r="H50" s="18">
        <v>0</v>
      </c>
      <c r="I50" s="22">
        <v>1</v>
      </c>
    </row>
    <row r="51" spans="1:9" x14ac:dyDescent="0.25">
      <c r="A51" s="21" t="s">
        <v>55</v>
      </c>
      <c r="B51" s="55" t="s">
        <v>57</v>
      </c>
      <c r="C51" s="73">
        <v>205</v>
      </c>
      <c r="D51" s="74">
        <v>80</v>
      </c>
      <c r="E51" s="59">
        <v>9</v>
      </c>
      <c r="F51" s="18">
        <f t="shared" si="1"/>
        <v>1845</v>
      </c>
      <c r="G51" s="18">
        <f t="shared" si="1"/>
        <v>720</v>
      </c>
      <c r="H51" s="18">
        <v>0</v>
      </c>
      <c r="I51" s="22">
        <v>1</v>
      </c>
    </row>
    <row r="52" spans="1:9" x14ac:dyDescent="0.25">
      <c r="A52" s="21" t="s">
        <v>55</v>
      </c>
      <c r="B52" s="55" t="s">
        <v>58</v>
      </c>
      <c r="C52" s="73"/>
      <c r="D52" s="74"/>
      <c r="E52" s="59"/>
      <c r="F52" s="18">
        <f t="shared" si="1"/>
        <v>0</v>
      </c>
      <c r="G52" s="18">
        <f t="shared" si="1"/>
        <v>0</v>
      </c>
      <c r="H52" s="18">
        <v>0</v>
      </c>
      <c r="I52" s="22">
        <v>1</v>
      </c>
    </row>
    <row r="53" spans="1:9" x14ac:dyDescent="0.25">
      <c r="A53" s="21" t="s">
        <v>55</v>
      </c>
      <c r="B53" s="55" t="s">
        <v>59</v>
      </c>
      <c r="C53" s="73"/>
      <c r="D53" s="74">
        <v>1</v>
      </c>
      <c r="E53" s="59"/>
      <c r="F53" s="18">
        <f t="shared" si="1"/>
        <v>0</v>
      </c>
      <c r="G53" s="18">
        <f t="shared" si="1"/>
        <v>0</v>
      </c>
      <c r="H53" s="18">
        <v>0</v>
      </c>
      <c r="I53" s="22">
        <v>1</v>
      </c>
    </row>
    <row r="54" spans="1:9" x14ac:dyDescent="0.25">
      <c r="A54" s="21" t="s">
        <v>55</v>
      </c>
      <c r="B54" s="55" t="s">
        <v>60</v>
      </c>
      <c r="C54" s="73"/>
      <c r="D54" s="74">
        <v>1</v>
      </c>
      <c r="E54" s="59"/>
      <c r="F54" s="18">
        <f t="shared" si="1"/>
        <v>0</v>
      </c>
      <c r="G54" s="18">
        <f t="shared" si="1"/>
        <v>0</v>
      </c>
      <c r="H54" s="18">
        <v>0</v>
      </c>
      <c r="I54" s="22">
        <v>1</v>
      </c>
    </row>
    <row r="55" spans="1:9" x14ac:dyDescent="0.25">
      <c r="A55" s="21" t="s">
        <v>55</v>
      </c>
      <c r="B55" s="55" t="s">
        <v>61</v>
      </c>
      <c r="C55" s="73"/>
      <c r="D55" s="74"/>
      <c r="E55" s="59"/>
      <c r="F55" s="18">
        <f t="shared" si="1"/>
        <v>0</v>
      </c>
      <c r="G55" s="18">
        <f t="shared" si="1"/>
        <v>0</v>
      </c>
      <c r="H55" s="18">
        <v>0</v>
      </c>
      <c r="I55" s="22">
        <v>1</v>
      </c>
    </row>
    <row r="56" spans="1:9" x14ac:dyDescent="0.25">
      <c r="A56" s="21" t="s">
        <v>55</v>
      </c>
      <c r="B56" s="55" t="s">
        <v>62</v>
      </c>
      <c r="C56" s="73"/>
      <c r="D56" s="74"/>
      <c r="E56" s="59"/>
      <c r="F56" s="18">
        <f t="shared" si="1"/>
        <v>0</v>
      </c>
      <c r="G56" s="18">
        <f t="shared" si="1"/>
        <v>0</v>
      </c>
      <c r="H56" s="18">
        <v>0</v>
      </c>
      <c r="I56" s="22">
        <v>1</v>
      </c>
    </row>
    <row r="57" spans="1:9" x14ac:dyDescent="0.25">
      <c r="A57" s="21" t="s">
        <v>55</v>
      </c>
      <c r="B57" s="55" t="s">
        <v>63</v>
      </c>
      <c r="C57" s="73"/>
      <c r="D57" s="74"/>
      <c r="E57" s="59"/>
      <c r="F57" s="18">
        <f t="shared" si="1"/>
        <v>0</v>
      </c>
      <c r="G57" s="18">
        <f t="shared" si="1"/>
        <v>0</v>
      </c>
      <c r="H57" s="18">
        <v>0</v>
      </c>
      <c r="I57" s="22">
        <v>1</v>
      </c>
    </row>
    <row r="58" spans="1:9" x14ac:dyDescent="0.25">
      <c r="A58" s="21" t="s">
        <v>55</v>
      </c>
      <c r="B58" s="55" t="s">
        <v>64</v>
      </c>
      <c r="C58" s="73"/>
      <c r="D58" s="74"/>
      <c r="E58" s="59"/>
      <c r="F58" s="18">
        <f t="shared" si="1"/>
        <v>0</v>
      </c>
      <c r="G58" s="18">
        <f t="shared" si="1"/>
        <v>0</v>
      </c>
      <c r="H58" s="18">
        <v>0</v>
      </c>
      <c r="I58" s="22">
        <v>1</v>
      </c>
    </row>
    <row r="59" spans="1:9" x14ac:dyDescent="0.25">
      <c r="A59" s="21" t="s">
        <v>55</v>
      </c>
      <c r="B59" s="55" t="s">
        <v>65</v>
      </c>
      <c r="C59" s="73"/>
      <c r="D59" s="74"/>
      <c r="E59" s="59"/>
      <c r="F59" s="18">
        <f t="shared" si="1"/>
        <v>0</v>
      </c>
      <c r="G59" s="18">
        <f t="shared" si="1"/>
        <v>0</v>
      </c>
      <c r="H59" s="18">
        <v>0</v>
      </c>
      <c r="I59" s="22">
        <v>1</v>
      </c>
    </row>
    <row r="60" spans="1:9" x14ac:dyDescent="0.25">
      <c r="A60" s="21" t="s">
        <v>55</v>
      </c>
      <c r="B60" s="55" t="s">
        <v>66</v>
      </c>
      <c r="C60" s="73"/>
      <c r="D60" s="74"/>
      <c r="E60" s="59"/>
      <c r="F60" s="18">
        <f t="shared" si="1"/>
        <v>0</v>
      </c>
      <c r="G60" s="18">
        <f t="shared" si="1"/>
        <v>0</v>
      </c>
      <c r="H60" s="18">
        <v>0</v>
      </c>
      <c r="I60" s="22">
        <v>1</v>
      </c>
    </row>
    <row r="61" spans="1:9" x14ac:dyDescent="0.25">
      <c r="A61" s="23" t="s">
        <v>67</v>
      </c>
      <c r="B61" s="56" t="s">
        <v>68</v>
      </c>
      <c r="C61" s="71"/>
      <c r="D61" s="72"/>
      <c r="E61" s="60"/>
      <c r="F61" s="1">
        <f t="shared" si="1"/>
        <v>0</v>
      </c>
      <c r="G61" s="1">
        <f t="shared" si="1"/>
        <v>0</v>
      </c>
      <c r="H61" s="46">
        <v>0</v>
      </c>
      <c r="I61" s="48">
        <v>0</v>
      </c>
    </row>
    <row r="62" spans="1:9" x14ac:dyDescent="0.25">
      <c r="A62" s="23" t="s">
        <v>67</v>
      </c>
      <c r="B62" s="56" t="s">
        <v>69</v>
      </c>
      <c r="C62" s="71"/>
      <c r="D62" s="72"/>
      <c r="E62" s="60"/>
      <c r="F62" s="1">
        <f t="shared" si="1"/>
        <v>0</v>
      </c>
      <c r="G62" s="1">
        <f t="shared" si="1"/>
        <v>0</v>
      </c>
      <c r="H62" s="46">
        <v>0</v>
      </c>
      <c r="I62" s="48">
        <v>0</v>
      </c>
    </row>
    <row r="63" spans="1:9" x14ac:dyDescent="0.25">
      <c r="A63" s="21" t="s">
        <v>70</v>
      </c>
      <c r="B63" s="55" t="s">
        <v>71</v>
      </c>
      <c r="C63" s="73"/>
      <c r="D63" s="74"/>
      <c r="E63" s="59"/>
      <c r="F63" s="18">
        <f t="shared" si="1"/>
        <v>0</v>
      </c>
      <c r="G63" s="18">
        <f t="shared" si="1"/>
        <v>0</v>
      </c>
      <c r="H63" s="18">
        <v>0</v>
      </c>
      <c r="I63" s="22">
        <v>0</v>
      </c>
    </row>
    <row r="64" spans="1:9" x14ac:dyDescent="0.25">
      <c r="A64" s="23" t="s">
        <v>72</v>
      </c>
      <c r="B64" s="56" t="s">
        <v>73</v>
      </c>
      <c r="C64" s="71"/>
      <c r="D64" s="72"/>
      <c r="E64" s="60"/>
      <c r="F64" s="1">
        <f t="shared" si="1"/>
        <v>0</v>
      </c>
      <c r="G64" s="1">
        <f t="shared" si="1"/>
        <v>0</v>
      </c>
      <c r="H64" s="46">
        <v>1</v>
      </c>
      <c r="I64" s="48">
        <v>0</v>
      </c>
    </row>
    <row r="65" spans="1:9" x14ac:dyDescent="0.25">
      <c r="A65" s="23" t="s">
        <v>72</v>
      </c>
      <c r="B65" s="56" t="s">
        <v>74</v>
      </c>
      <c r="C65" s="71"/>
      <c r="D65" s="72"/>
      <c r="E65" s="60"/>
      <c r="F65" s="1">
        <f t="shared" si="1"/>
        <v>0</v>
      </c>
      <c r="G65" s="1">
        <f t="shared" si="1"/>
        <v>0</v>
      </c>
      <c r="H65" s="46">
        <v>1</v>
      </c>
      <c r="I65" s="48">
        <v>0</v>
      </c>
    </row>
    <row r="66" spans="1:9" x14ac:dyDescent="0.25">
      <c r="A66" s="23" t="s">
        <v>72</v>
      </c>
      <c r="B66" s="56" t="s">
        <v>75</v>
      </c>
      <c r="C66" s="71"/>
      <c r="D66" s="72"/>
      <c r="E66" s="60"/>
      <c r="F66" s="1">
        <f t="shared" si="1"/>
        <v>0</v>
      </c>
      <c r="G66" s="1">
        <f t="shared" si="1"/>
        <v>0</v>
      </c>
      <c r="H66" s="46">
        <v>1</v>
      </c>
      <c r="I66" s="48">
        <v>0</v>
      </c>
    </row>
    <row r="67" spans="1:9" x14ac:dyDescent="0.25">
      <c r="A67" s="23" t="s">
        <v>72</v>
      </c>
      <c r="B67" s="56" t="s">
        <v>76</v>
      </c>
      <c r="C67" s="71">
        <v>3</v>
      </c>
      <c r="D67" s="72">
        <v>2</v>
      </c>
      <c r="E67" s="60">
        <v>4</v>
      </c>
      <c r="F67" s="1">
        <f t="shared" si="1"/>
        <v>12</v>
      </c>
      <c r="G67" s="1">
        <f t="shared" si="1"/>
        <v>8</v>
      </c>
      <c r="H67" s="46">
        <v>1</v>
      </c>
      <c r="I67" s="48">
        <v>0</v>
      </c>
    </row>
    <row r="68" spans="1:9" x14ac:dyDescent="0.25">
      <c r="A68" s="23" t="s">
        <v>72</v>
      </c>
      <c r="B68" s="56" t="s">
        <v>77</v>
      </c>
      <c r="C68" s="71"/>
      <c r="D68" s="72"/>
      <c r="E68" s="60"/>
      <c r="F68" s="1">
        <f t="shared" si="1"/>
        <v>0</v>
      </c>
      <c r="G68" s="1">
        <f t="shared" si="1"/>
        <v>0</v>
      </c>
      <c r="H68" s="46">
        <v>1</v>
      </c>
      <c r="I68" s="48">
        <v>0</v>
      </c>
    </row>
    <row r="69" spans="1:9" x14ac:dyDescent="0.25">
      <c r="A69" s="23" t="s">
        <v>72</v>
      </c>
      <c r="B69" s="56" t="s">
        <v>78</v>
      </c>
      <c r="C69" s="71"/>
      <c r="D69" s="72"/>
      <c r="E69" s="60"/>
      <c r="F69" s="1">
        <f t="shared" si="1"/>
        <v>0</v>
      </c>
      <c r="G69" s="1">
        <f t="shared" si="1"/>
        <v>0</v>
      </c>
      <c r="H69" s="46">
        <v>1</v>
      </c>
      <c r="I69" s="48">
        <v>0</v>
      </c>
    </row>
    <row r="70" spans="1:9" x14ac:dyDescent="0.25">
      <c r="A70" s="23" t="s">
        <v>72</v>
      </c>
      <c r="B70" s="56" t="s">
        <v>79</v>
      </c>
      <c r="C70" s="71"/>
      <c r="D70" s="72"/>
      <c r="E70" s="60"/>
      <c r="F70" s="1">
        <f t="shared" si="1"/>
        <v>0</v>
      </c>
      <c r="G70" s="1">
        <f t="shared" si="1"/>
        <v>0</v>
      </c>
      <c r="H70" s="46">
        <v>1</v>
      </c>
      <c r="I70" s="48">
        <v>0</v>
      </c>
    </row>
    <row r="71" spans="1:9" x14ac:dyDescent="0.25">
      <c r="A71" s="23" t="s">
        <v>72</v>
      </c>
      <c r="B71" s="56" t="s">
        <v>80</v>
      </c>
      <c r="C71" s="71"/>
      <c r="D71" s="72"/>
      <c r="E71" s="60"/>
      <c r="F71" s="1">
        <f t="shared" si="1"/>
        <v>0</v>
      </c>
      <c r="G71" s="1">
        <f t="shared" si="1"/>
        <v>0</v>
      </c>
      <c r="H71" s="46">
        <v>1</v>
      </c>
      <c r="I71" s="48">
        <v>0</v>
      </c>
    </row>
    <row r="72" spans="1:9" x14ac:dyDescent="0.25">
      <c r="A72" s="23" t="s">
        <v>72</v>
      </c>
      <c r="B72" s="56" t="s">
        <v>81</v>
      </c>
      <c r="C72" s="71"/>
      <c r="D72" s="72"/>
      <c r="E72" s="60"/>
      <c r="F72" s="1">
        <f t="shared" ref="F72:G112" si="2">C72*$E72</f>
        <v>0</v>
      </c>
      <c r="G72" s="1">
        <f t="shared" si="2"/>
        <v>0</v>
      </c>
      <c r="H72" s="46">
        <v>1</v>
      </c>
      <c r="I72" s="48">
        <v>0</v>
      </c>
    </row>
    <row r="73" spans="1:9" x14ac:dyDescent="0.25">
      <c r="A73" s="23" t="s">
        <v>72</v>
      </c>
      <c r="B73" s="56" t="s">
        <v>82</v>
      </c>
      <c r="C73" s="71"/>
      <c r="D73" s="72"/>
      <c r="E73" s="60"/>
      <c r="F73" s="1">
        <f t="shared" si="2"/>
        <v>0</v>
      </c>
      <c r="G73" s="1">
        <f t="shared" si="2"/>
        <v>0</v>
      </c>
      <c r="H73" s="46">
        <v>1</v>
      </c>
      <c r="I73" s="48">
        <v>0</v>
      </c>
    </row>
    <row r="74" spans="1:9" x14ac:dyDescent="0.25">
      <c r="A74" s="23" t="s">
        <v>72</v>
      </c>
      <c r="B74" s="56" t="s">
        <v>83</v>
      </c>
      <c r="C74" s="71"/>
      <c r="D74" s="72"/>
      <c r="E74" s="60"/>
      <c r="F74" s="1">
        <f t="shared" si="2"/>
        <v>0</v>
      </c>
      <c r="G74" s="1">
        <f t="shared" si="2"/>
        <v>0</v>
      </c>
      <c r="H74" s="46">
        <v>1</v>
      </c>
      <c r="I74" s="48">
        <v>0</v>
      </c>
    </row>
    <row r="75" spans="1:9" x14ac:dyDescent="0.25">
      <c r="A75" s="23" t="s">
        <v>72</v>
      </c>
      <c r="B75" s="56" t="s">
        <v>84</v>
      </c>
      <c r="C75" s="71"/>
      <c r="D75" s="72"/>
      <c r="E75" s="60"/>
      <c r="F75" s="1">
        <f t="shared" si="2"/>
        <v>0</v>
      </c>
      <c r="G75" s="1">
        <f t="shared" si="2"/>
        <v>0</v>
      </c>
      <c r="H75" s="46">
        <v>1</v>
      </c>
      <c r="I75" s="48">
        <v>0</v>
      </c>
    </row>
    <row r="76" spans="1:9" x14ac:dyDescent="0.25">
      <c r="A76" s="23" t="s">
        <v>72</v>
      </c>
      <c r="B76" s="56" t="s">
        <v>85</v>
      </c>
      <c r="C76" s="71"/>
      <c r="D76" s="72"/>
      <c r="E76" s="60"/>
      <c r="F76" s="1">
        <f t="shared" si="2"/>
        <v>0</v>
      </c>
      <c r="G76" s="1">
        <f t="shared" si="2"/>
        <v>0</v>
      </c>
      <c r="H76" s="46">
        <v>1</v>
      </c>
      <c r="I76" s="48">
        <v>0</v>
      </c>
    </row>
    <row r="77" spans="1:9" x14ac:dyDescent="0.25">
      <c r="A77" s="23" t="s">
        <v>72</v>
      </c>
      <c r="B77" s="56" t="s">
        <v>86</v>
      </c>
      <c r="C77" s="71"/>
      <c r="D77" s="72"/>
      <c r="E77" s="60"/>
      <c r="F77" s="1">
        <f t="shared" si="2"/>
        <v>0</v>
      </c>
      <c r="G77" s="1">
        <f t="shared" si="2"/>
        <v>0</v>
      </c>
      <c r="H77" s="46">
        <v>1</v>
      </c>
      <c r="I77" s="48">
        <v>0</v>
      </c>
    </row>
    <row r="78" spans="1:9" x14ac:dyDescent="0.25">
      <c r="A78" s="23" t="s">
        <v>72</v>
      </c>
      <c r="B78" s="56" t="s">
        <v>87</v>
      </c>
      <c r="C78" s="71"/>
      <c r="D78" s="72"/>
      <c r="E78" s="60"/>
      <c r="F78" s="1">
        <f t="shared" si="2"/>
        <v>0</v>
      </c>
      <c r="G78" s="1">
        <f t="shared" si="2"/>
        <v>0</v>
      </c>
      <c r="H78" s="46">
        <v>1</v>
      </c>
      <c r="I78" s="48">
        <v>0</v>
      </c>
    </row>
    <row r="79" spans="1:9" x14ac:dyDescent="0.25">
      <c r="A79" s="23" t="s">
        <v>72</v>
      </c>
      <c r="B79" s="56" t="s">
        <v>88</v>
      </c>
      <c r="C79" s="71"/>
      <c r="D79" s="72"/>
      <c r="E79" s="60"/>
      <c r="F79" s="1">
        <f t="shared" si="2"/>
        <v>0</v>
      </c>
      <c r="G79" s="1">
        <f t="shared" si="2"/>
        <v>0</v>
      </c>
      <c r="H79" s="46">
        <v>1</v>
      </c>
      <c r="I79" s="48">
        <v>0</v>
      </c>
    </row>
    <row r="80" spans="1:9" x14ac:dyDescent="0.25">
      <c r="A80" s="23" t="s">
        <v>72</v>
      </c>
      <c r="B80" s="56" t="s">
        <v>89</v>
      </c>
      <c r="C80" s="71"/>
      <c r="D80" s="72"/>
      <c r="E80" s="60"/>
      <c r="F80" s="1">
        <f t="shared" si="2"/>
        <v>0</v>
      </c>
      <c r="G80" s="1">
        <f t="shared" si="2"/>
        <v>0</v>
      </c>
      <c r="H80" s="46">
        <v>1</v>
      </c>
      <c r="I80" s="48">
        <v>0</v>
      </c>
    </row>
    <row r="81" spans="1:9" x14ac:dyDescent="0.25">
      <c r="A81" s="21" t="s">
        <v>90</v>
      </c>
      <c r="B81" s="55" t="s">
        <v>91</v>
      </c>
      <c r="C81" s="73"/>
      <c r="D81" s="74"/>
      <c r="E81" s="59"/>
      <c r="F81" s="18">
        <f t="shared" si="2"/>
        <v>0</v>
      </c>
      <c r="G81" s="18">
        <f t="shared" si="2"/>
        <v>0</v>
      </c>
      <c r="H81" s="18">
        <v>0</v>
      </c>
      <c r="I81" s="22">
        <v>0</v>
      </c>
    </row>
    <row r="82" spans="1:9" x14ac:dyDescent="0.25">
      <c r="A82" s="21" t="s">
        <v>90</v>
      </c>
      <c r="B82" s="55" t="s">
        <v>92</v>
      </c>
      <c r="C82" s="73"/>
      <c r="D82" s="74"/>
      <c r="E82" s="59"/>
      <c r="F82" s="18">
        <f t="shared" si="2"/>
        <v>0</v>
      </c>
      <c r="G82" s="18">
        <f t="shared" si="2"/>
        <v>0</v>
      </c>
      <c r="H82" s="18">
        <v>0</v>
      </c>
      <c r="I82" s="22">
        <v>0</v>
      </c>
    </row>
    <row r="83" spans="1:9" x14ac:dyDescent="0.25">
      <c r="A83" s="23" t="s">
        <v>93</v>
      </c>
      <c r="B83" s="56" t="s">
        <v>94</v>
      </c>
      <c r="C83" s="71"/>
      <c r="D83" s="72"/>
      <c r="E83" s="60"/>
      <c r="F83" s="1">
        <f t="shared" si="2"/>
        <v>0</v>
      </c>
      <c r="G83" s="1">
        <f t="shared" si="2"/>
        <v>0</v>
      </c>
      <c r="H83" s="46">
        <v>0</v>
      </c>
      <c r="I83" s="48">
        <v>0</v>
      </c>
    </row>
    <row r="84" spans="1:9" x14ac:dyDescent="0.25">
      <c r="A84" s="23" t="s">
        <v>93</v>
      </c>
      <c r="B84" s="56" t="s">
        <v>276</v>
      </c>
      <c r="C84" s="71"/>
      <c r="D84" s="72"/>
      <c r="E84" s="60"/>
      <c r="F84" s="1">
        <f t="shared" si="2"/>
        <v>0</v>
      </c>
      <c r="G84" s="1">
        <f t="shared" si="2"/>
        <v>0</v>
      </c>
      <c r="H84" s="46">
        <v>0</v>
      </c>
      <c r="I84" s="48">
        <v>1</v>
      </c>
    </row>
    <row r="85" spans="1:9" x14ac:dyDescent="0.25">
      <c r="A85" s="23" t="s">
        <v>93</v>
      </c>
      <c r="B85" s="56" t="s">
        <v>277</v>
      </c>
      <c r="C85" s="71"/>
      <c r="D85" s="72"/>
      <c r="E85" s="60"/>
      <c r="F85" s="1">
        <f t="shared" ref="F85" si="3">C85*$E85</f>
        <v>0</v>
      </c>
      <c r="G85" s="1">
        <f t="shared" ref="G85" si="4">D85*$E85</f>
        <v>0</v>
      </c>
      <c r="H85" s="46">
        <v>0</v>
      </c>
      <c r="I85" s="48">
        <v>1</v>
      </c>
    </row>
    <row r="86" spans="1:9" x14ac:dyDescent="0.25">
      <c r="A86" s="23" t="s">
        <v>93</v>
      </c>
      <c r="B86" s="56" t="s">
        <v>95</v>
      </c>
      <c r="C86" s="71"/>
      <c r="D86" s="72"/>
      <c r="E86" s="60"/>
      <c r="F86" s="1">
        <f t="shared" si="2"/>
        <v>0</v>
      </c>
      <c r="G86" s="1">
        <f t="shared" si="2"/>
        <v>0</v>
      </c>
      <c r="H86" s="46">
        <v>0</v>
      </c>
      <c r="I86" s="48">
        <v>0</v>
      </c>
    </row>
    <row r="87" spans="1:9" x14ac:dyDescent="0.25">
      <c r="A87" s="23" t="s">
        <v>93</v>
      </c>
      <c r="B87" s="56" t="s">
        <v>96</v>
      </c>
      <c r="C87" s="71"/>
      <c r="D87" s="72"/>
      <c r="E87" s="60"/>
      <c r="F87" s="1">
        <f t="shared" si="2"/>
        <v>0</v>
      </c>
      <c r="G87" s="1">
        <f t="shared" si="2"/>
        <v>0</v>
      </c>
      <c r="H87" s="46">
        <v>0</v>
      </c>
      <c r="I87" s="48">
        <v>1</v>
      </c>
    </row>
    <row r="88" spans="1:9" x14ac:dyDescent="0.25">
      <c r="A88" s="23" t="s">
        <v>93</v>
      </c>
      <c r="B88" s="56" t="s">
        <v>97</v>
      </c>
      <c r="C88" s="71"/>
      <c r="D88" s="72"/>
      <c r="E88" s="60"/>
      <c r="F88" s="1">
        <f t="shared" si="2"/>
        <v>0</v>
      </c>
      <c r="G88" s="1">
        <f t="shared" si="2"/>
        <v>0</v>
      </c>
      <c r="H88" s="46">
        <v>0</v>
      </c>
      <c r="I88" s="48">
        <v>1</v>
      </c>
    </row>
    <row r="89" spans="1:9" x14ac:dyDescent="0.25">
      <c r="A89" s="23" t="s">
        <v>93</v>
      </c>
      <c r="B89" s="56" t="s">
        <v>282</v>
      </c>
      <c r="C89" s="71"/>
      <c r="D89" s="72"/>
      <c r="E89" s="60"/>
      <c r="F89" s="1">
        <f t="shared" si="2"/>
        <v>0</v>
      </c>
      <c r="G89" s="1">
        <f t="shared" si="2"/>
        <v>0</v>
      </c>
      <c r="H89" s="46">
        <v>0</v>
      </c>
      <c r="I89" s="48">
        <v>1</v>
      </c>
    </row>
    <row r="90" spans="1:9" x14ac:dyDescent="0.25">
      <c r="A90" s="23" t="s">
        <v>93</v>
      </c>
      <c r="B90" s="56" t="s">
        <v>283</v>
      </c>
      <c r="C90" s="71"/>
      <c r="D90" s="72"/>
      <c r="E90" s="60"/>
      <c r="F90" s="1">
        <f t="shared" ref="F90:F94" si="5">C90*$E90</f>
        <v>0</v>
      </c>
      <c r="G90" s="1">
        <f t="shared" ref="G90:G94" si="6">D90*$E90</f>
        <v>0</v>
      </c>
      <c r="H90" s="46">
        <v>0</v>
      </c>
      <c r="I90" s="48">
        <v>1</v>
      </c>
    </row>
    <row r="91" spans="1:9" x14ac:dyDescent="0.25">
      <c r="A91" s="23" t="s">
        <v>93</v>
      </c>
      <c r="B91" s="56" t="s">
        <v>280</v>
      </c>
      <c r="C91" s="71"/>
      <c r="D91" s="72"/>
      <c r="E91" s="60"/>
      <c r="F91" s="1">
        <f t="shared" si="5"/>
        <v>0</v>
      </c>
      <c r="G91" s="1">
        <f t="shared" si="6"/>
        <v>0</v>
      </c>
      <c r="H91" s="46">
        <v>0</v>
      </c>
      <c r="I91" s="48">
        <v>1</v>
      </c>
    </row>
    <row r="92" spans="1:9" x14ac:dyDescent="0.25">
      <c r="A92" s="23" t="s">
        <v>93</v>
      </c>
      <c r="B92" s="56" t="s">
        <v>281</v>
      </c>
      <c r="C92" s="71"/>
      <c r="D92" s="72"/>
      <c r="E92" s="60"/>
      <c r="F92" s="1">
        <f t="shared" si="5"/>
        <v>0</v>
      </c>
      <c r="G92" s="1">
        <f t="shared" si="6"/>
        <v>0</v>
      </c>
      <c r="H92" s="46">
        <v>0</v>
      </c>
      <c r="I92" s="48">
        <v>1</v>
      </c>
    </row>
    <row r="93" spans="1:9" x14ac:dyDescent="0.25">
      <c r="A93" s="23" t="s">
        <v>93</v>
      </c>
      <c r="B93" s="56" t="s">
        <v>278</v>
      </c>
      <c r="C93" s="71"/>
      <c r="D93" s="72"/>
      <c r="E93" s="60"/>
      <c r="F93" s="1">
        <f t="shared" si="5"/>
        <v>0</v>
      </c>
      <c r="G93" s="1">
        <f t="shared" si="6"/>
        <v>0</v>
      </c>
      <c r="H93" s="46">
        <v>0</v>
      </c>
      <c r="I93" s="48">
        <v>1</v>
      </c>
    </row>
    <row r="94" spans="1:9" x14ac:dyDescent="0.25">
      <c r="A94" s="23" t="s">
        <v>93</v>
      </c>
      <c r="B94" s="56" t="s">
        <v>279</v>
      </c>
      <c r="C94" s="71"/>
      <c r="D94" s="72"/>
      <c r="E94" s="60"/>
      <c r="F94" s="1">
        <f t="shared" si="5"/>
        <v>0</v>
      </c>
      <c r="G94" s="1">
        <f t="shared" si="6"/>
        <v>0</v>
      </c>
      <c r="H94" s="46">
        <v>0</v>
      </c>
      <c r="I94" s="48">
        <v>1</v>
      </c>
    </row>
    <row r="95" spans="1:9" x14ac:dyDescent="0.25">
      <c r="A95" s="23" t="s">
        <v>93</v>
      </c>
      <c r="B95" s="56" t="s">
        <v>98</v>
      </c>
      <c r="C95" s="71"/>
      <c r="D95" s="72"/>
      <c r="E95" s="60"/>
      <c r="F95" s="1">
        <f t="shared" si="2"/>
        <v>0</v>
      </c>
      <c r="G95" s="1">
        <f t="shared" si="2"/>
        <v>0</v>
      </c>
      <c r="H95" s="46">
        <v>0</v>
      </c>
      <c r="I95" s="48">
        <v>1</v>
      </c>
    </row>
    <row r="96" spans="1:9" x14ac:dyDescent="0.25">
      <c r="A96" s="23" t="s">
        <v>93</v>
      </c>
      <c r="B96" s="56" t="s">
        <v>99</v>
      </c>
      <c r="C96" s="71"/>
      <c r="D96" s="72"/>
      <c r="E96" s="60"/>
      <c r="F96" s="1">
        <f t="shared" si="2"/>
        <v>0</v>
      </c>
      <c r="G96" s="1">
        <f t="shared" si="2"/>
        <v>0</v>
      </c>
      <c r="H96" s="46">
        <v>0</v>
      </c>
      <c r="I96" s="48">
        <v>1</v>
      </c>
    </row>
    <row r="97" spans="1:9" x14ac:dyDescent="0.25">
      <c r="A97" s="23" t="s">
        <v>93</v>
      </c>
      <c r="B97" s="56" t="s">
        <v>100</v>
      </c>
      <c r="C97" s="71"/>
      <c r="D97" s="72"/>
      <c r="E97" s="60"/>
      <c r="F97" s="1">
        <f t="shared" si="2"/>
        <v>0</v>
      </c>
      <c r="G97" s="1">
        <f t="shared" si="2"/>
        <v>0</v>
      </c>
      <c r="H97" s="46">
        <v>0</v>
      </c>
      <c r="I97" s="48">
        <v>1</v>
      </c>
    </row>
    <row r="98" spans="1:9" x14ac:dyDescent="0.25">
      <c r="A98" s="23" t="s">
        <v>93</v>
      </c>
      <c r="B98" s="56" t="s">
        <v>101</v>
      </c>
      <c r="C98" s="71"/>
      <c r="D98" s="72"/>
      <c r="E98" s="60"/>
      <c r="F98" s="1">
        <f t="shared" si="2"/>
        <v>0</v>
      </c>
      <c r="G98" s="1">
        <f t="shared" si="2"/>
        <v>0</v>
      </c>
      <c r="H98" s="46">
        <v>0</v>
      </c>
      <c r="I98" s="48">
        <v>1</v>
      </c>
    </row>
    <row r="99" spans="1:9" x14ac:dyDescent="0.25">
      <c r="A99" s="23" t="s">
        <v>93</v>
      </c>
      <c r="B99" s="56" t="s">
        <v>102</v>
      </c>
      <c r="C99" s="71"/>
      <c r="D99" s="72"/>
      <c r="E99" s="60"/>
      <c r="F99" s="1">
        <f t="shared" si="2"/>
        <v>0</v>
      </c>
      <c r="G99" s="1">
        <f t="shared" si="2"/>
        <v>0</v>
      </c>
      <c r="H99" s="46">
        <v>0</v>
      </c>
      <c r="I99" s="48">
        <v>1</v>
      </c>
    </row>
    <row r="100" spans="1:9" x14ac:dyDescent="0.25">
      <c r="A100" s="21" t="s">
        <v>103</v>
      </c>
      <c r="B100" s="55" t="s">
        <v>104</v>
      </c>
      <c r="C100" s="73"/>
      <c r="D100" s="74"/>
      <c r="E100" s="59"/>
      <c r="F100" s="18">
        <f t="shared" si="2"/>
        <v>0</v>
      </c>
      <c r="G100" s="18">
        <f t="shared" si="2"/>
        <v>0</v>
      </c>
      <c r="H100" s="18">
        <v>0</v>
      </c>
      <c r="I100" s="22">
        <v>0</v>
      </c>
    </row>
    <row r="101" spans="1:9" x14ac:dyDescent="0.25">
      <c r="A101" s="21" t="s">
        <v>103</v>
      </c>
      <c r="B101" s="55" t="s">
        <v>105</v>
      </c>
      <c r="C101" s="73"/>
      <c r="D101" s="74"/>
      <c r="E101" s="59"/>
      <c r="F101" s="18">
        <f t="shared" si="2"/>
        <v>0</v>
      </c>
      <c r="G101" s="18">
        <f t="shared" si="2"/>
        <v>0</v>
      </c>
      <c r="H101" s="18">
        <v>0</v>
      </c>
      <c r="I101" s="22">
        <v>0</v>
      </c>
    </row>
    <row r="102" spans="1:9" x14ac:dyDescent="0.25">
      <c r="A102" s="21" t="s">
        <v>103</v>
      </c>
      <c r="B102" s="55" t="s">
        <v>294</v>
      </c>
      <c r="C102" s="73"/>
      <c r="D102" s="74"/>
      <c r="E102" s="59"/>
      <c r="F102" s="18">
        <f t="shared" si="2"/>
        <v>0</v>
      </c>
      <c r="G102" s="18">
        <f t="shared" si="2"/>
        <v>0</v>
      </c>
      <c r="H102" s="18">
        <v>0</v>
      </c>
      <c r="I102" s="22">
        <v>0</v>
      </c>
    </row>
    <row r="103" spans="1:9" x14ac:dyDescent="0.25">
      <c r="A103" s="21" t="s">
        <v>103</v>
      </c>
      <c r="B103" s="55" t="s">
        <v>294</v>
      </c>
      <c r="C103" s="73"/>
      <c r="D103" s="74"/>
      <c r="E103" s="59"/>
      <c r="F103" s="18">
        <f t="shared" ref="F103:F105" si="7">C103*$E103</f>
        <v>0</v>
      </c>
      <c r="G103" s="18">
        <f t="shared" ref="G103:G105" si="8">D103*$E103</f>
        <v>0</v>
      </c>
      <c r="H103" s="18">
        <v>0</v>
      </c>
      <c r="I103" s="22">
        <v>0</v>
      </c>
    </row>
    <row r="104" spans="1:9" x14ac:dyDescent="0.25">
      <c r="A104" s="21" t="s">
        <v>103</v>
      </c>
      <c r="B104" s="57" t="s">
        <v>295</v>
      </c>
      <c r="C104" s="73"/>
      <c r="D104" s="74"/>
      <c r="E104" s="59"/>
      <c r="F104" s="18">
        <f t="shared" si="7"/>
        <v>0</v>
      </c>
      <c r="G104" s="18">
        <f t="shared" si="8"/>
        <v>0</v>
      </c>
      <c r="H104" s="18">
        <v>0</v>
      </c>
      <c r="I104" s="22">
        <v>1</v>
      </c>
    </row>
    <row r="105" spans="1:9" x14ac:dyDescent="0.25">
      <c r="A105" s="21" t="s">
        <v>103</v>
      </c>
      <c r="B105" s="57" t="s">
        <v>296</v>
      </c>
      <c r="C105" s="73"/>
      <c r="D105" s="74"/>
      <c r="E105" s="59"/>
      <c r="F105" s="18">
        <f t="shared" si="7"/>
        <v>0</v>
      </c>
      <c r="G105" s="18">
        <f t="shared" si="8"/>
        <v>0</v>
      </c>
      <c r="H105" s="18">
        <v>0</v>
      </c>
      <c r="I105" s="22">
        <v>0</v>
      </c>
    </row>
    <row r="106" spans="1:9" x14ac:dyDescent="0.25">
      <c r="A106" s="21" t="s">
        <v>103</v>
      </c>
      <c r="B106" s="55" t="s">
        <v>106</v>
      </c>
      <c r="C106" s="73">
        <v>15</v>
      </c>
      <c r="D106" s="74">
        <v>67</v>
      </c>
      <c r="E106" s="59">
        <v>7</v>
      </c>
      <c r="F106" s="18">
        <f t="shared" si="2"/>
        <v>105</v>
      </c>
      <c r="G106" s="18">
        <f t="shared" si="2"/>
        <v>469</v>
      </c>
      <c r="H106" s="18">
        <v>0</v>
      </c>
      <c r="I106" s="22">
        <v>0</v>
      </c>
    </row>
    <row r="107" spans="1:9" x14ac:dyDescent="0.25">
      <c r="A107" s="21" t="s">
        <v>103</v>
      </c>
      <c r="B107" s="55" t="s">
        <v>284</v>
      </c>
      <c r="C107" s="73"/>
      <c r="D107" s="74"/>
      <c r="E107" s="59"/>
      <c r="F107" s="18">
        <f t="shared" si="2"/>
        <v>0</v>
      </c>
      <c r="G107" s="18">
        <f t="shared" si="2"/>
        <v>0</v>
      </c>
      <c r="H107" s="18">
        <v>0</v>
      </c>
      <c r="I107" s="22">
        <v>0</v>
      </c>
    </row>
    <row r="108" spans="1:9" x14ac:dyDescent="0.25">
      <c r="A108" s="21" t="s">
        <v>103</v>
      </c>
      <c r="B108" s="55" t="s">
        <v>285</v>
      </c>
      <c r="C108" s="73"/>
      <c r="D108" s="74"/>
      <c r="E108" s="59"/>
      <c r="F108" s="18">
        <f t="shared" ref="F108" si="9">C108*$E108</f>
        <v>0</v>
      </c>
      <c r="G108" s="18">
        <f t="shared" ref="G108" si="10">D108*$E108</f>
        <v>0</v>
      </c>
      <c r="H108" s="18">
        <v>0</v>
      </c>
      <c r="I108" s="22">
        <v>1</v>
      </c>
    </row>
    <row r="109" spans="1:9" x14ac:dyDescent="0.25">
      <c r="A109" s="21" t="s">
        <v>103</v>
      </c>
      <c r="B109" s="55" t="s">
        <v>107</v>
      </c>
      <c r="C109" s="73"/>
      <c r="D109" s="74"/>
      <c r="E109" s="59"/>
      <c r="F109" s="18">
        <f t="shared" si="2"/>
        <v>0</v>
      </c>
      <c r="G109" s="18">
        <f t="shared" si="2"/>
        <v>0</v>
      </c>
      <c r="H109" s="18">
        <v>0</v>
      </c>
      <c r="I109" s="22">
        <v>0</v>
      </c>
    </row>
    <row r="110" spans="1:9" x14ac:dyDescent="0.25">
      <c r="A110" s="21" t="s">
        <v>103</v>
      </c>
      <c r="B110" s="55" t="s">
        <v>290</v>
      </c>
      <c r="C110" s="73">
        <v>0</v>
      </c>
      <c r="D110" s="74"/>
      <c r="E110" s="59"/>
      <c r="F110" s="18">
        <f t="shared" si="2"/>
        <v>0</v>
      </c>
      <c r="G110" s="18">
        <f t="shared" si="2"/>
        <v>0</v>
      </c>
      <c r="H110" s="18">
        <v>0</v>
      </c>
      <c r="I110" s="22">
        <v>0</v>
      </c>
    </row>
    <row r="111" spans="1:9" x14ac:dyDescent="0.25">
      <c r="A111" s="21" t="s">
        <v>103</v>
      </c>
      <c r="B111" s="55" t="s">
        <v>291</v>
      </c>
      <c r="C111" s="73"/>
      <c r="D111" s="74"/>
      <c r="E111" s="59"/>
      <c r="F111" s="18">
        <f t="shared" ref="F111" si="11">C111*$E111</f>
        <v>0</v>
      </c>
      <c r="G111" s="18">
        <f t="shared" ref="G111" si="12">D111*$E111</f>
        <v>0</v>
      </c>
      <c r="H111" s="18">
        <v>0</v>
      </c>
      <c r="I111" s="22">
        <v>1</v>
      </c>
    </row>
    <row r="112" spans="1:9" x14ac:dyDescent="0.25">
      <c r="A112" s="21" t="s">
        <v>103</v>
      </c>
      <c r="B112" s="55" t="s">
        <v>108</v>
      </c>
      <c r="C112" s="73">
        <v>0</v>
      </c>
      <c r="D112" s="74"/>
      <c r="E112" s="59"/>
      <c r="F112" s="18">
        <f t="shared" si="2"/>
        <v>0</v>
      </c>
      <c r="G112" s="18">
        <f t="shared" si="2"/>
        <v>0</v>
      </c>
      <c r="H112" s="18">
        <v>0</v>
      </c>
      <c r="I112" s="22">
        <v>0</v>
      </c>
    </row>
    <row r="113" spans="1:9" x14ac:dyDescent="0.25">
      <c r="A113" s="21" t="s">
        <v>103</v>
      </c>
      <c r="B113" s="55" t="s">
        <v>109</v>
      </c>
      <c r="C113" s="73"/>
      <c r="D113" s="74"/>
      <c r="E113" s="59"/>
      <c r="F113" s="18">
        <f t="shared" ref="F113:G140" si="13">C113*$E113</f>
        <v>0</v>
      </c>
      <c r="G113" s="18">
        <f t="shared" si="13"/>
        <v>0</v>
      </c>
      <c r="H113" s="18">
        <v>0</v>
      </c>
      <c r="I113" s="22">
        <v>0</v>
      </c>
    </row>
    <row r="114" spans="1:9" x14ac:dyDescent="0.25">
      <c r="A114" s="21" t="s">
        <v>103</v>
      </c>
      <c r="B114" s="55" t="s">
        <v>110</v>
      </c>
      <c r="C114" s="73"/>
      <c r="D114" s="74"/>
      <c r="E114" s="59"/>
      <c r="F114" s="18">
        <f t="shared" si="13"/>
        <v>0</v>
      </c>
      <c r="G114" s="18">
        <f t="shared" si="13"/>
        <v>0</v>
      </c>
      <c r="H114" s="18">
        <v>0</v>
      </c>
      <c r="I114" s="22">
        <v>0</v>
      </c>
    </row>
    <row r="115" spans="1:9" x14ac:dyDescent="0.25">
      <c r="A115" s="21" t="s">
        <v>103</v>
      </c>
      <c r="B115" s="55" t="s">
        <v>111</v>
      </c>
      <c r="C115" s="73"/>
      <c r="D115" s="74"/>
      <c r="E115" s="59"/>
      <c r="F115" s="18">
        <f t="shared" si="13"/>
        <v>0</v>
      </c>
      <c r="G115" s="18">
        <f t="shared" si="13"/>
        <v>0</v>
      </c>
      <c r="H115" s="18">
        <v>0</v>
      </c>
      <c r="I115" s="22">
        <v>0</v>
      </c>
    </row>
    <row r="116" spans="1:9" x14ac:dyDescent="0.25">
      <c r="A116" s="21" t="s">
        <v>103</v>
      </c>
      <c r="B116" s="55" t="s">
        <v>286</v>
      </c>
      <c r="C116" s="73"/>
      <c r="D116" s="74"/>
      <c r="E116" s="59"/>
      <c r="F116" s="18">
        <f t="shared" si="13"/>
        <v>0</v>
      </c>
      <c r="G116" s="18">
        <f t="shared" si="13"/>
        <v>0</v>
      </c>
      <c r="H116" s="18">
        <v>0</v>
      </c>
      <c r="I116" s="22">
        <v>0</v>
      </c>
    </row>
    <row r="117" spans="1:9" x14ac:dyDescent="0.25">
      <c r="A117" s="21" t="s">
        <v>103</v>
      </c>
      <c r="B117" s="55" t="s">
        <v>287</v>
      </c>
      <c r="C117" s="73"/>
      <c r="D117" s="74"/>
      <c r="E117" s="59"/>
      <c r="F117" s="18">
        <f t="shared" ref="F117" si="14">C117*$E117</f>
        <v>0</v>
      </c>
      <c r="G117" s="18">
        <f t="shared" ref="G117" si="15">D117*$E117</f>
        <v>0</v>
      </c>
      <c r="H117" s="18">
        <v>0</v>
      </c>
      <c r="I117" s="22">
        <v>1</v>
      </c>
    </row>
    <row r="118" spans="1:9" x14ac:dyDescent="0.25">
      <c r="A118" s="21" t="s">
        <v>103</v>
      </c>
      <c r="B118" s="55" t="s">
        <v>112</v>
      </c>
      <c r="C118" s="73"/>
      <c r="D118" s="74"/>
      <c r="E118" s="59"/>
      <c r="F118" s="18">
        <f t="shared" si="13"/>
        <v>0</v>
      </c>
      <c r="G118" s="18">
        <f t="shared" si="13"/>
        <v>0</v>
      </c>
      <c r="H118" s="18">
        <v>0</v>
      </c>
      <c r="I118" s="22">
        <v>0</v>
      </c>
    </row>
    <row r="119" spans="1:9" x14ac:dyDescent="0.25">
      <c r="A119" s="21" t="s">
        <v>103</v>
      </c>
      <c r="B119" s="55" t="s">
        <v>113</v>
      </c>
      <c r="C119" s="73">
        <v>2</v>
      </c>
      <c r="D119" s="74">
        <v>69</v>
      </c>
      <c r="E119" s="59">
        <v>6</v>
      </c>
      <c r="F119" s="18">
        <f t="shared" si="13"/>
        <v>12</v>
      </c>
      <c r="G119" s="18">
        <f t="shared" si="13"/>
        <v>414</v>
      </c>
      <c r="H119" s="18">
        <v>0</v>
      </c>
      <c r="I119" s="22">
        <v>0</v>
      </c>
    </row>
    <row r="120" spans="1:9" x14ac:dyDescent="0.25">
      <c r="A120" s="21" t="s">
        <v>103</v>
      </c>
      <c r="B120" s="55" t="s">
        <v>288</v>
      </c>
      <c r="C120" s="73"/>
      <c r="D120" s="74"/>
      <c r="E120" s="59"/>
      <c r="F120" s="18">
        <f t="shared" si="13"/>
        <v>0</v>
      </c>
      <c r="G120" s="18">
        <f t="shared" si="13"/>
        <v>0</v>
      </c>
      <c r="H120" s="18">
        <v>0</v>
      </c>
      <c r="I120" s="22">
        <v>0</v>
      </c>
    </row>
    <row r="121" spans="1:9" x14ac:dyDescent="0.25">
      <c r="A121" s="21" t="s">
        <v>103</v>
      </c>
      <c r="B121" s="55" t="s">
        <v>289</v>
      </c>
      <c r="C121" s="73"/>
      <c r="D121" s="74"/>
      <c r="E121" s="59"/>
      <c r="F121" s="18">
        <f t="shared" ref="F121" si="16">C121*$E121</f>
        <v>0</v>
      </c>
      <c r="G121" s="18">
        <f t="shared" ref="G121" si="17">D121*$E121</f>
        <v>0</v>
      </c>
      <c r="H121" s="18">
        <v>0</v>
      </c>
      <c r="I121" s="22">
        <v>1</v>
      </c>
    </row>
    <row r="122" spans="1:9" x14ac:dyDescent="0.25">
      <c r="A122" s="21" t="s">
        <v>103</v>
      </c>
      <c r="B122" s="55" t="s">
        <v>292</v>
      </c>
      <c r="C122" s="73"/>
      <c r="D122" s="74"/>
      <c r="E122" s="59"/>
      <c r="F122" s="18">
        <f t="shared" si="13"/>
        <v>0</v>
      </c>
      <c r="G122" s="18">
        <f t="shared" si="13"/>
        <v>0</v>
      </c>
      <c r="H122" s="18">
        <v>0</v>
      </c>
      <c r="I122" s="22">
        <v>0</v>
      </c>
    </row>
    <row r="123" spans="1:9" x14ac:dyDescent="0.25">
      <c r="A123" s="21" t="s">
        <v>103</v>
      </c>
      <c r="B123" s="55" t="s">
        <v>293</v>
      </c>
      <c r="C123" s="73"/>
      <c r="D123" s="74"/>
      <c r="E123" s="59"/>
      <c r="F123" s="18">
        <f t="shared" ref="F123" si="18">C123*$E123</f>
        <v>0</v>
      </c>
      <c r="G123" s="18">
        <f t="shared" ref="G123" si="19">D123*$E123</f>
        <v>0</v>
      </c>
      <c r="H123" s="18">
        <v>0</v>
      </c>
      <c r="I123" s="22">
        <v>1</v>
      </c>
    </row>
    <row r="124" spans="1:9" x14ac:dyDescent="0.25">
      <c r="A124" s="21" t="s">
        <v>103</v>
      </c>
      <c r="B124" s="55" t="s">
        <v>114</v>
      </c>
      <c r="C124" s="73"/>
      <c r="D124" s="74"/>
      <c r="E124" s="59"/>
      <c r="F124" s="18">
        <f t="shared" si="13"/>
        <v>0</v>
      </c>
      <c r="G124" s="18">
        <f t="shared" si="13"/>
        <v>0</v>
      </c>
      <c r="H124" s="18">
        <v>0</v>
      </c>
      <c r="I124" s="22">
        <v>0</v>
      </c>
    </row>
    <row r="125" spans="1:9" x14ac:dyDescent="0.25">
      <c r="A125" s="21" t="s">
        <v>103</v>
      </c>
      <c r="B125" s="55" t="s">
        <v>115</v>
      </c>
      <c r="C125" s="73"/>
      <c r="D125" s="74"/>
      <c r="E125" s="59"/>
      <c r="F125" s="18">
        <f t="shared" si="13"/>
        <v>0</v>
      </c>
      <c r="G125" s="18">
        <f t="shared" si="13"/>
        <v>0</v>
      </c>
      <c r="H125" s="18">
        <v>0</v>
      </c>
      <c r="I125" s="22">
        <v>0</v>
      </c>
    </row>
    <row r="126" spans="1:9" x14ac:dyDescent="0.25">
      <c r="A126" s="21" t="s">
        <v>103</v>
      </c>
      <c r="B126" s="55" t="s">
        <v>116</v>
      </c>
      <c r="C126" s="73"/>
      <c r="D126" s="74"/>
      <c r="E126" s="59"/>
      <c r="F126" s="18">
        <f t="shared" si="13"/>
        <v>0</v>
      </c>
      <c r="G126" s="18">
        <f t="shared" si="13"/>
        <v>0</v>
      </c>
      <c r="H126" s="18">
        <v>0</v>
      </c>
      <c r="I126" s="22">
        <v>0</v>
      </c>
    </row>
    <row r="127" spans="1:9" x14ac:dyDescent="0.25">
      <c r="A127" s="23" t="s">
        <v>117</v>
      </c>
      <c r="B127" s="56" t="s">
        <v>118</v>
      </c>
      <c r="C127" s="71"/>
      <c r="D127" s="72"/>
      <c r="E127" s="60"/>
      <c r="F127" s="1">
        <f t="shared" si="13"/>
        <v>0</v>
      </c>
      <c r="G127" s="1">
        <f t="shared" si="13"/>
        <v>0</v>
      </c>
      <c r="H127" s="46">
        <v>0</v>
      </c>
      <c r="I127" s="48">
        <v>0</v>
      </c>
    </row>
    <row r="128" spans="1:9" x14ac:dyDescent="0.25">
      <c r="A128" s="23" t="s">
        <v>117</v>
      </c>
      <c r="B128" s="56" t="s">
        <v>119</v>
      </c>
      <c r="C128" s="71"/>
      <c r="D128" s="72"/>
      <c r="E128" s="60"/>
      <c r="F128" s="1">
        <f t="shared" si="13"/>
        <v>0</v>
      </c>
      <c r="G128" s="1">
        <f t="shared" si="13"/>
        <v>0</v>
      </c>
      <c r="H128" s="46">
        <v>0</v>
      </c>
      <c r="I128" s="48">
        <v>0</v>
      </c>
    </row>
    <row r="129" spans="1:9" x14ac:dyDescent="0.25">
      <c r="A129" s="23" t="s">
        <v>117</v>
      </c>
      <c r="B129" s="56" t="s">
        <v>120</v>
      </c>
      <c r="C129" s="71"/>
      <c r="D129" s="72"/>
      <c r="E129" s="60"/>
      <c r="F129" s="1">
        <f t="shared" si="13"/>
        <v>0</v>
      </c>
      <c r="G129" s="1">
        <f t="shared" si="13"/>
        <v>0</v>
      </c>
      <c r="H129" s="46">
        <v>0</v>
      </c>
      <c r="I129" s="48">
        <v>0</v>
      </c>
    </row>
    <row r="130" spans="1:9" x14ac:dyDescent="0.25">
      <c r="A130" s="23" t="s">
        <v>117</v>
      </c>
      <c r="B130" s="56" t="s">
        <v>121</v>
      </c>
      <c r="C130" s="71"/>
      <c r="D130" s="72"/>
      <c r="E130" s="60"/>
      <c r="F130" s="1">
        <f t="shared" si="13"/>
        <v>0</v>
      </c>
      <c r="G130" s="1">
        <f t="shared" si="13"/>
        <v>0</v>
      </c>
      <c r="H130" s="46">
        <v>0</v>
      </c>
      <c r="I130" s="48">
        <v>0</v>
      </c>
    </row>
    <row r="131" spans="1:9" x14ac:dyDescent="0.25">
      <c r="A131" s="23" t="s">
        <v>117</v>
      </c>
      <c r="B131" s="56" t="s">
        <v>122</v>
      </c>
      <c r="C131" s="71">
        <v>3</v>
      </c>
      <c r="D131" s="72">
        <v>4</v>
      </c>
      <c r="E131" s="60">
        <v>7</v>
      </c>
      <c r="F131" s="1">
        <f t="shared" si="13"/>
        <v>21</v>
      </c>
      <c r="G131" s="1">
        <f t="shared" si="13"/>
        <v>28</v>
      </c>
      <c r="H131" s="46">
        <v>0</v>
      </c>
      <c r="I131" s="48">
        <v>0</v>
      </c>
    </row>
    <row r="132" spans="1:9" x14ac:dyDescent="0.25">
      <c r="A132" s="23" t="s">
        <v>117</v>
      </c>
      <c r="B132" s="56" t="s">
        <v>123</v>
      </c>
      <c r="C132" s="71">
        <v>0</v>
      </c>
      <c r="D132" s="72"/>
      <c r="E132" s="60"/>
      <c r="F132" s="1">
        <f t="shared" si="13"/>
        <v>0</v>
      </c>
      <c r="G132" s="1">
        <f t="shared" si="13"/>
        <v>0</v>
      </c>
      <c r="H132" s="46">
        <v>0</v>
      </c>
      <c r="I132" s="48">
        <v>0</v>
      </c>
    </row>
    <row r="133" spans="1:9" x14ac:dyDescent="0.25">
      <c r="A133" s="23" t="s">
        <v>117</v>
      </c>
      <c r="B133" s="56" t="s">
        <v>124</v>
      </c>
      <c r="C133" s="71"/>
      <c r="D133" s="72"/>
      <c r="E133" s="60"/>
      <c r="F133" s="1">
        <f t="shared" si="13"/>
        <v>0</v>
      </c>
      <c r="G133" s="1">
        <f t="shared" si="13"/>
        <v>0</v>
      </c>
      <c r="H133" s="46">
        <v>0</v>
      </c>
      <c r="I133" s="48">
        <v>0</v>
      </c>
    </row>
    <row r="134" spans="1:9" x14ac:dyDescent="0.25">
      <c r="A134" s="23" t="s">
        <v>117</v>
      </c>
      <c r="B134" s="56" t="s">
        <v>125</v>
      </c>
      <c r="C134" s="71"/>
      <c r="D134" s="72"/>
      <c r="E134" s="60"/>
      <c r="F134" s="1">
        <f t="shared" si="13"/>
        <v>0</v>
      </c>
      <c r="G134" s="1">
        <f t="shared" si="13"/>
        <v>0</v>
      </c>
      <c r="H134" s="46">
        <v>0</v>
      </c>
      <c r="I134" s="48">
        <v>0</v>
      </c>
    </row>
    <row r="135" spans="1:9" x14ac:dyDescent="0.25">
      <c r="A135" s="23" t="s">
        <v>117</v>
      </c>
      <c r="B135" s="56" t="s">
        <v>126</v>
      </c>
      <c r="C135" s="71"/>
      <c r="D135" s="72"/>
      <c r="E135" s="60"/>
      <c r="F135" s="1">
        <f t="shared" si="13"/>
        <v>0</v>
      </c>
      <c r="G135" s="1">
        <f t="shared" si="13"/>
        <v>0</v>
      </c>
      <c r="H135" s="46">
        <v>0</v>
      </c>
      <c r="I135" s="48">
        <v>0</v>
      </c>
    </row>
    <row r="136" spans="1:9" x14ac:dyDescent="0.25">
      <c r="A136" s="23" t="s">
        <v>117</v>
      </c>
      <c r="B136" s="56" t="s">
        <v>127</v>
      </c>
      <c r="C136" s="71"/>
      <c r="D136" s="72"/>
      <c r="E136" s="60"/>
      <c r="F136" s="1">
        <f t="shared" si="13"/>
        <v>0</v>
      </c>
      <c r="G136" s="1">
        <f t="shared" si="13"/>
        <v>0</v>
      </c>
      <c r="H136" s="46">
        <v>0</v>
      </c>
      <c r="I136" s="48">
        <v>0</v>
      </c>
    </row>
    <row r="137" spans="1:9" x14ac:dyDescent="0.25">
      <c r="A137" s="21" t="s">
        <v>128</v>
      </c>
      <c r="B137" s="55" t="s">
        <v>129</v>
      </c>
      <c r="C137" s="73"/>
      <c r="D137" s="74"/>
      <c r="E137" s="59"/>
      <c r="F137" s="18">
        <f t="shared" si="13"/>
        <v>0</v>
      </c>
      <c r="G137" s="18">
        <f t="shared" si="13"/>
        <v>0</v>
      </c>
      <c r="H137" s="18">
        <v>0</v>
      </c>
      <c r="I137" s="22">
        <v>0</v>
      </c>
    </row>
    <row r="138" spans="1:9" x14ac:dyDescent="0.25">
      <c r="A138" s="21" t="s">
        <v>128</v>
      </c>
      <c r="B138" s="55" t="s">
        <v>130</v>
      </c>
      <c r="C138" s="73"/>
      <c r="D138" s="74"/>
      <c r="E138" s="59"/>
      <c r="F138" s="18">
        <f t="shared" si="13"/>
        <v>0</v>
      </c>
      <c r="G138" s="18">
        <f t="shared" si="13"/>
        <v>0</v>
      </c>
      <c r="H138" s="18">
        <v>0</v>
      </c>
      <c r="I138" s="22">
        <v>0</v>
      </c>
    </row>
    <row r="139" spans="1:9" x14ac:dyDescent="0.25">
      <c r="A139" s="21" t="s">
        <v>128</v>
      </c>
      <c r="B139" s="55" t="s">
        <v>131</v>
      </c>
      <c r="C139" s="73"/>
      <c r="D139" s="74"/>
      <c r="E139" s="59"/>
      <c r="F139" s="18">
        <f t="shared" si="13"/>
        <v>0</v>
      </c>
      <c r="G139" s="18">
        <f t="shared" si="13"/>
        <v>0</v>
      </c>
      <c r="H139" s="18">
        <v>0</v>
      </c>
      <c r="I139" s="22">
        <v>0</v>
      </c>
    </row>
    <row r="140" spans="1:9" ht="15.75" thickBot="1" x14ac:dyDescent="0.3">
      <c r="A140" s="24" t="s">
        <v>128</v>
      </c>
      <c r="B140" s="58" t="s">
        <v>132</v>
      </c>
      <c r="C140" s="75"/>
      <c r="D140" s="76"/>
      <c r="E140" s="61"/>
      <c r="F140" s="25">
        <f t="shared" si="13"/>
        <v>0</v>
      </c>
      <c r="G140" s="25">
        <f t="shared" si="13"/>
        <v>0</v>
      </c>
      <c r="H140" s="25">
        <v>0</v>
      </c>
      <c r="I140" s="26">
        <v>0</v>
      </c>
    </row>
    <row r="142" spans="1:9" x14ac:dyDescent="0.25">
      <c r="B142" s="1" t="s">
        <v>133</v>
      </c>
      <c r="C142" s="1">
        <f>SUM(Downstream)</f>
        <v>239</v>
      </c>
      <c r="D142" s="1">
        <f>SUM(Upstream)</f>
        <v>234</v>
      </c>
      <c r="E142" s="1" t="s">
        <v>134</v>
      </c>
      <c r="F142" s="1">
        <f>SUM(F13:F140)</f>
        <v>2063</v>
      </c>
      <c r="G142" s="1">
        <f>SUM(G13:G140)</f>
        <v>1682</v>
      </c>
    </row>
    <row r="143" spans="1:9" x14ac:dyDescent="0.25">
      <c r="B143" s="1" t="s">
        <v>135</v>
      </c>
      <c r="C143" s="28">
        <f>COUNTIF(Downstream,"&gt;0")</f>
        <v>7</v>
      </c>
      <c r="D143" s="28">
        <f>COUNTIF(Upstream,"&gt;0")</f>
        <v>14</v>
      </c>
      <c r="E143" s="1" t="s">
        <v>136</v>
      </c>
      <c r="F143" s="39">
        <f>F142/C142</f>
        <v>8.6317991631799167</v>
      </c>
      <c r="G143" s="40">
        <f>G142/D142</f>
        <v>7.1880341880341883</v>
      </c>
    </row>
    <row r="144" spans="1:9" x14ac:dyDescent="0.25">
      <c r="B144" s="1" t="s">
        <v>137</v>
      </c>
      <c r="C144" s="28">
        <f t="array" ref="C144">SUM((Downstream&gt;0)*isEPTtaxa)</f>
        <v>1</v>
      </c>
      <c r="D144" s="28">
        <f t="array" ref="D144">SUM((Upstream&gt;0)*isEPTtaxa)</f>
        <v>2</v>
      </c>
      <c r="E144" s="1" t="s">
        <v>138</v>
      </c>
      <c r="F144" s="28" t="str">
        <f>VLOOKUP(F143,Lookup_WQ,2,TRUE)</f>
        <v>Very Poor</v>
      </c>
      <c r="G144" s="28" t="str">
        <f>VLOOKUP(G143,Lookup_WQ,2,TRUE)</f>
        <v>Poor</v>
      </c>
    </row>
    <row r="146" spans="2:6" x14ac:dyDescent="0.25">
      <c r="B146" t="b">
        <f>B142&gt;0</f>
        <v>1</v>
      </c>
    </row>
    <row r="149" spans="2:6" x14ac:dyDescent="0.25">
      <c r="E149" s="27" t="s">
        <v>232</v>
      </c>
    </row>
    <row r="150" spans="2:6" x14ac:dyDescent="0.25">
      <c r="B150" s="1" t="s">
        <v>140</v>
      </c>
      <c r="C150" s="1" t="s">
        <v>138</v>
      </c>
      <c r="E150" s="29" t="s">
        <v>140</v>
      </c>
      <c r="F150" s="29" t="s">
        <v>138</v>
      </c>
    </row>
    <row r="151" spans="2:6" x14ac:dyDescent="0.25">
      <c r="B151" s="1" t="s">
        <v>141</v>
      </c>
      <c r="C151" s="1" t="s">
        <v>142</v>
      </c>
      <c r="E151" s="28">
        <f>VALUE(LEFT(B151,FIND("-",B151)-1))</f>
        <v>0</v>
      </c>
      <c r="F151" s="28" t="s">
        <v>142</v>
      </c>
    </row>
    <row r="152" spans="2:6" x14ac:dyDescent="0.25">
      <c r="B152" s="1" t="s">
        <v>143</v>
      </c>
      <c r="C152" s="1" t="s">
        <v>144</v>
      </c>
      <c r="E152" s="28">
        <f t="shared" ref="E152:E157" si="20">VALUE(LEFT(B152,FIND("-",B152)-1))</f>
        <v>3.76</v>
      </c>
      <c r="F152" s="28" t="s">
        <v>144</v>
      </c>
    </row>
    <row r="153" spans="2:6" x14ac:dyDescent="0.25">
      <c r="B153" s="1" t="s">
        <v>145</v>
      </c>
      <c r="C153" s="1" t="s">
        <v>146</v>
      </c>
      <c r="E153" s="28">
        <f t="shared" si="20"/>
        <v>4.26</v>
      </c>
      <c r="F153" s="28" t="s">
        <v>146</v>
      </c>
    </row>
    <row r="154" spans="2:6" x14ac:dyDescent="0.25">
      <c r="B154" s="1" t="s">
        <v>147</v>
      </c>
      <c r="C154" s="1" t="s">
        <v>148</v>
      </c>
      <c r="E154" s="28">
        <f t="shared" si="20"/>
        <v>5.01</v>
      </c>
      <c r="F154" s="28" t="s">
        <v>148</v>
      </c>
    </row>
    <row r="155" spans="2:6" x14ac:dyDescent="0.25">
      <c r="B155" s="1" t="s">
        <v>149</v>
      </c>
      <c r="C155" s="1" t="s">
        <v>150</v>
      </c>
      <c r="E155" s="28">
        <f t="shared" si="20"/>
        <v>5.76</v>
      </c>
      <c r="F155" s="28" t="s">
        <v>150</v>
      </c>
    </row>
    <row r="156" spans="2:6" x14ac:dyDescent="0.25">
      <c r="B156" s="1" t="s">
        <v>151</v>
      </c>
      <c r="C156" s="1" t="s">
        <v>139</v>
      </c>
      <c r="E156" s="28">
        <f t="shared" si="20"/>
        <v>6.51</v>
      </c>
      <c r="F156" s="28" t="s">
        <v>139</v>
      </c>
    </row>
    <row r="157" spans="2:6" x14ac:dyDescent="0.25">
      <c r="B157" s="1" t="s">
        <v>152</v>
      </c>
      <c r="C157" s="1" t="s">
        <v>153</v>
      </c>
      <c r="E157" s="28">
        <f t="shared" si="20"/>
        <v>7.26</v>
      </c>
      <c r="F157" s="28" t="s">
        <v>153</v>
      </c>
    </row>
    <row r="160" spans="2:6" x14ac:dyDescent="0.25">
      <c r="B160" t="s">
        <v>0</v>
      </c>
      <c r="C160" t="str">
        <f t="shared" ref="C160:D162" si="21">C3</f>
        <v>Partridge (DS)</v>
      </c>
      <c r="D160" t="str">
        <f t="shared" si="21"/>
        <v>Partridge (US)</v>
      </c>
      <c r="E160" s="16"/>
    </row>
    <row r="161" spans="2:11" x14ac:dyDescent="0.25">
      <c r="B161" t="s">
        <v>3</v>
      </c>
      <c r="C161" s="41">
        <f t="shared" si="21"/>
        <v>43272</v>
      </c>
      <c r="D161" s="41">
        <f t="shared" si="21"/>
        <v>43272</v>
      </c>
    </row>
    <row r="162" spans="2:11" x14ac:dyDescent="0.25">
      <c r="B162" t="s">
        <v>4</v>
      </c>
      <c r="C162" t="str">
        <f t="shared" si="21"/>
        <v>SMNITP</v>
      </c>
      <c r="D162" t="str">
        <f t="shared" si="21"/>
        <v>SMNITP</v>
      </c>
      <c r="E162" s="16"/>
    </row>
    <row r="163" spans="2:11" x14ac:dyDescent="0.25">
      <c r="C163" t="s">
        <v>235</v>
      </c>
      <c r="D163" t="s">
        <v>236</v>
      </c>
    </row>
    <row r="164" spans="2:11" x14ac:dyDescent="0.25">
      <c r="B164" t="s">
        <v>154</v>
      </c>
      <c r="C164" t="s">
        <v>234</v>
      </c>
      <c r="D164" t="s">
        <v>234</v>
      </c>
    </row>
    <row r="165" spans="2:11" x14ac:dyDescent="0.25">
      <c r="B165" s="1" t="s">
        <v>135</v>
      </c>
      <c r="C165" s="28">
        <f>COUNTIF(Downstream,"&gt;0")</f>
        <v>7</v>
      </c>
      <c r="D165" s="28">
        <f>COUNTIF(Upstream,"&gt;0")</f>
        <v>14</v>
      </c>
    </row>
    <row r="166" spans="2:11" x14ac:dyDescent="0.25">
      <c r="B166" s="1" t="s">
        <v>155</v>
      </c>
      <c r="C166" s="28">
        <f t="array" ref="C166">SUM((Downstream&gt;0)*(Level1="Ephemeroptera"))</f>
        <v>0</v>
      </c>
      <c r="D166" s="28">
        <f t="array" ref="D166">SUM((Upstream&gt;0)*(Level1="Ephemeroptera"))</f>
        <v>1</v>
      </c>
    </row>
    <row r="167" spans="2:11" x14ac:dyDescent="0.25">
      <c r="B167" s="1" t="s">
        <v>156</v>
      </c>
      <c r="C167" s="28">
        <f t="array" ref="C167">SUM((Downstream&gt;0)*(Level1="Trichoptera"))</f>
        <v>1</v>
      </c>
      <c r="D167" s="28">
        <f t="array" ref="D167">SUM((Upstream&gt;0)*(Level1="Trichoptera"))</f>
        <v>1</v>
      </c>
      <c r="F167" s="14" t="s">
        <v>252</v>
      </c>
      <c r="G167" s="14"/>
    </row>
    <row r="168" spans="2:11" x14ac:dyDescent="0.25">
      <c r="B168" s="1" t="s">
        <v>157</v>
      </c>
      <c r="C168" s="28">
        <f t="array" ref="C168">SUM((Downstream&gt;0)*(Level1="Plecoptera"))</f>
        <v>0</v>
      </c>
      <c r="D168" s="28">
        <f t="array" ref="D168">SUM((Upstream&gt;0)*(Level1="Plecoptera"))</f>
        <v>0</v>
      </c>
      <c r="F168" s="35" t="s">
        <v>274</v>
      </c>
      <c r="G168" s="35" t="s">
        <v>275</v>
      </c>
    </row>
    <row r="169" spans="2:11" x14ac:dyDescent="0.25">
      <c r="B169" s="1" t="s">
        <v>158</v>
      </c>
      <c r="C169" s="44">
        <f t="array" ref="C169">(SUM((Downstream)*(Level1="Ephemeroptera"))/Total_DS)</f>
        <v>0</v>
      </c>
      <c r="D169" s="44">
        <f t="array" ref="D169">(SUM((Upstream)*(Level1="Ephemeroptera"))/Total_US)</f>
        <v>4.2735042735042739E-3</v>
      </c>
      <c r="E169" s="42" t="s">
        <v>270</v>
      </c>
      <c r="F169" s="30">
        <f t="array" ref="F169">SUM((Downstream)*(Level1="Ephemeroptera"))</f>
        <v>0</v>
      </c>
      <c r="G169" s="30">
        <f t="array" ref="G169">SUM((Upstream)*(Level1="Ephemeroptera"))</f>
        <v>1</v>
      </c>
    </row>
    <row r="170" spans="2:11" x14ac:dyDescent="0.25">
      <c r="B170" s="1" t="s">
        <v>159</v>
      </c>
      <c r="C170" s="44">
        <f t="array" ref="C170">(SUM((Downstream)*(Level1="Trichoptera"))/Total_DS)</f>
        <v>1.2552301255230125E-2</v>
      </c>
      <c r="D170" s="44">
        <f t="array" ref="D170">(SUM((Upstream)*(Level1="Trichoptera"))/Total_US)</f>
        <v>8.5470085470085479E-3</v>
      </c>
      <c r="E170" s="42" t="s">
        <v>271</v>
      </c>
      <c r="F170" s="30">
        <f t="array" ref="F170">SUM((Downstream)*(Level1="Trichoptera"))</f>
        <v>3</v>
      </c>
      <c r="G170" s="30">
        <f t="array" ref="G170">SUM((Upstream)*(Level1="Trichoptera"))</f>
        <v>2</v>
      </c>
    </row>
    <row r="171" spans="2:11" x14ac:dyDescent="0.25">
      <c r="B171" s="1" t="s">
        <v>160</v>
      </c>
      <c r="C171" s="43">
        <f>MAX(Downstream)/Total_DS</f>
        <v>0.85774058577405854</v>
      </c>
      <c r="D171" s="43">
        <f>MAX(Upstream)/Total_US</f>
        <v>0.34188034188034189</v>
      </c>
      <c r="E171" s="42" t="s">
        <v>272</v>
      </c>
      <c r="F171" s="30">
        <f>MAX(Downstream)</f>
        <v>205</v>
      </c>
      <c r="G171" s="30">
        <f>MAX(Upstream)</f>
        <v>80</v>
      </c>
    </row>
    <row r="172" spans="2:11" x14ac:dyDescent="0.25">
      <c r="B172" s="1" t="s">
        <v>161</v>
      </c>
      <c r="C172" s="44">
        <f t="array" ref="C172">(SUM((Downstream)*(Level1="Gastropoda"))+SUM((Downstream)*(Level2="Isopoda"))+SUM((Downstream)*(Level2="Hirudinea")))/Total_DS</f>
        <v>1.2552301255230125E-2</v>
      </c>
      <c r="D172" s="44">
        <f t="array" ref="D172">(SUM((Upstream)*(Level1="Gastropoda"))+SUM((Upstream)*(Level2="Isopoda"))+SUM((Upstream)*(Level2="Hirudinea")))/Total_US</f>
        <v>2.1367521367521368E-2</v>
      </c>
      <c r="E172" s="42" t="s">
        <v>273</v>
      </c>
      <c r="F172" s="1">
        <f t="array" ref="F172">(SUM((Downstream)*(Level1="Gastropoda"))+SUM((Downstream)*(Level2="Isopoda"))+SUM((Downstream)*(Level2="Hirudinea")))</f>
        <v>3</v>
      </c>
      <c r="G172" s="1">
        <f t="array" ref="G172">(SUM((Upstream)*(Level1="Gastropoda"))+SUM((Upstream)*(Level2="Isopoda"))+SUM((Upstream)*(Level2="Hirudinea")))</f>
        <v>5</v>
      </c>
    </row>
    <row r="173" spans="2:11" x14ac:dyDescent="0.25">
      <c r="B173" s="1" t="s">
        <v>162</v>
      </c>
      <c r="C173" s="44">
        <f t="array" ref="C173">SUM((Downstream&gt;0)*isSurfaceDept)/Total_DS</f>
        <v>4.1841004184100415E-3</v>
      </c>
      <c r="D173" s="44">
        <f t="array" ref="D173">SUM((Upstream&gt;0)*isSurfaceDept)/Total_US</f>
        <v>1.282051282051282E-2</v>
      </c>
    </row>
    <row r="174" spans="2:11" x14ac:dyDescent="0.25">
      <c r="F174" s="33" t="s">
        <v>267</v>
      </c>
      <c r="G174" s="34"/>
      <c r="H174" s="34"/>
      <c r="I174" s="34"/>
      <c r="J174" s="34"/>
      <c r="K174" s="34"/>
    </row>
    <row r="175" spans="2:11" x14ac:dyDescent="0.25">
      <c r="F175" s="31" t="s">
        <v>266</v>
      </c>
      <c r="G175" s="31"/>
      <c r="H175" s="31" t="s">
        <v>235</v>
      </c>
      <c r="I175" s="31"/>
      <c r="J175" s="31" t="s">
        <v>236</v>
      </c>
      <c r="K175" s="31"/>
    </row>
    <row r="176" spans="2:11" x14ac:dyDescent="0.25">
      <c r="B176" s="15" t="s">
        <v>154</v>
      </c>
      <c r="C176" s="32" t="s">
        <v>268</v>
      </c>
      <c r="D176" s="32" t="s">
        <v>269</v>
      </c>
      <c r="F176" s="35" t="s">
        <v>274</v>
      </c>
      <c r="G176" s="35" t="s">
        <v>275</v>
      </c>
      <c r="H176" s="35" t="s">
        <v>259</v>
      </c>
      <c r="I176" s="35" t="s">
        <v>260</v>
      </c>
      <c r="J176" s="35" t="s">
        <v>259</v>
      </c>
      <c r="K176" s="35" t="s">
        <v>260</v>
      </c>
    </row>
    <row r="177" spans="1:11" x14ac:dyDescent="0.25">
      <c r="A177">
        <v>1</v>
      </c>
      <c r="B177" s="1" t="s">
        <v>135</v>
      </c>
      <c r="C177" s="1">
        <f>IF(F177,IF(C165&lt;SummaryDefs!$H4,SummaryDefs!$J4,IF(C165&gt;SummaryDefs!$I4,SummaryDefs!$K4,0)),IF(C165&lt;$H177,SummaryDefs!$J4,IF(C165&gt;$I177,SummaryDefs!$K4,0)))</f>
        <v>-1</v>
      </c>
      <c r="D177" s="1">
        <f>IF(G177,IF(D165&lt;SummaryDefs!$H4,SummaryDefs!$J4,IF(D165&gt;SummaryDefs!$I4,SummaryDefs!$K4,0)),IF(D165&lt;$J177,SummaryDefs!$J4,IF(D165&gt;$K177,SummaryDefs!$K4,0)))</f>
        <v>0</v>
      </c>
      <c r="F177" t="b">
        <f>Width_DS&gt;SummaryDefs!$E4</f>
        <v>1</v>
      </c>
      <c r="G177" t="b">
        <f>Width_DS&gt;SummaryDefs!$S4</f>
        <v>1</v>
      </c>
      <c r="H177" s="36">
        <f>SummaryDefs!F4*Width_DS</f>
        <v>51</v>
      </c>
      <c r="I177" s="36">
        <f>SummaryDefs!G4*Width_DS</f>
        <v>99</v>
      </c>
      <c r="J177" s="36">
        <f>SummaryDefs!T4*Width_DS</f>
        <v>51</v>
      </c>
      <c r="K177" s="36">
        <f>SummaryDefs!U4*Width_US</f>
        <v>66</v>
      </c>
    </row>
    <row r="178" spans="1:11" x14ac:dyDescent="0.25">
      <c r="A178">
        <v>2</v>
      </c>
      <c r="B178" s="1" t="s">
        <v>155</v>
      </c>
      <c r="C178" s="1">
        <f>IF(F178,IF(C166&lt;SummaryDefs!$H5,SummaryDefs!$J5,IF(C166&gt;SummaryDefs!$I5,SummaryDefs!$K5,0)),IF(C166&lt;$H178,SummaryDefs!$J5,IF(C166&gt;$I178,SummaryDefs!$K5,0)))</f>
        <v>-1</v>
      </c>
      <c r="D178" s="1">
        <f>IF(G178,IF(D166&lt;SummaryDefs!$H5,SummaryDefs!$J5,IF(D166&gt;SummaryDefs!$I5,SummaryDefs!$K5,0)),IF(D166&lt;$J178,SummaryDefs!$J5,IF(D166&gt;$K178,SummaryDefs!$K5,0)))</f>
        <v>-1</v>
      </c>
      <c r="F178" t="b">
        <f>Width_DS&gt;SummaryDefs!$E5</f>
        <v>1</v>
      </c>
      <c r="G178" t="b">
        <f>Width_DS&gt;SummaryDefs!$S5</f>
        <v>1</v>
      </c>
      <c r="H178" s="36">
        <f>SummaryDefs!F5*Width_DS</f>
        <v>3</v>
      </c>
      <c r="I178" s="36">
        <f>SummaryDefs!G5*Width_DS</f>
        <v>9</v>
      </c>
      <c r="J178" s="36">
        <f>SummaryDefs!T5*Width_DS</f>
        <v>3</v>
      </c>
      <c r="K178" s="36">
        <f>SummaryDefs!U5*Width_US</f>
        <v>6</v>
      </c>
    </row>
    <row r="179" spans="1:11" x14ac:dyDescent="0.25">
      <c r="A179">
        <v>3</v>
      </c>
      <c r="B179" s="1" t="s">
        <v>156</v>
      </c>
      <c r="C179" s="1">
        <f>IF(F179,IF(C167&lt;SummaryDefs!$H6,SummaryDefs!$J6,IF(C167&gt;SummaryDefs!$I6,SummaryDefs!$K6,0)),IF(C167&lt;$H179,SummaryDefs!$J6,IF(C167&gt;$I179,SummaryDefs!$K6,0)))</f>
        <v>-1</v>
      </c>
      <c r="D179" s="1">
        <f>IF(G179,IF(D167&lt;SummaryDefs!$H6,SummaryDefs!$J6,IF(D167&gt;SummaryDefs!$I6,SummaryDefs!$K6,0)),IF(D167&lt;$J179,SummaryDefs!$J6,IF(D167&gt;$K179,SummaryDefs!$K6,0)))</f>
        <v>-1</v>
      </c>
      <c r="F179" t="b">
        <f>Width_DS&gt;SummaryDefs!$E6</f>
        <v>1</v>
      </c>
      <c r="G179" t="b">
        <f>Width_DS&gt;SummaryDefs!$S6</f>
        <v>1</v>
      </c>
      <c r="H179" s="36">
        <f>SummaryDefs!F6*Width_DS</f>
        <v>6.3</v>
      </c>
      <c r="I179" s="36">
        <f>SummaryDefs!G6*Width_DS</f>
        <v>18</v>
      </c>
      <c r="J179" s="36">
        <f>SummaryDefs!T6*Width_DS</f>
        <v>6.3</v>
      </c>
      <c r="K179" s="36">
        <f>SummaryDefs!U6*Width_US</f>
        <v>12</v>
      </c>
    </row>
    <row r="180" spans="1:11" x14ac:dyDescent="0.25">
      <c r="A180">
        <v>4</v>
      </c>
      <c r="B180" s="1" t="s">
        <v>157</v>
      </c>
      <c r="C180" s="1">
        <f>IF(F180,IF(C168&lt;SummaryDefs!$H7,SummaryDefs!$J7,IF(C168&gt;SummaryDefs!$I7,SummaryDefs!$K7,0)),IF(C168&lt;$H180,SummaryDefs!$J7,IF(C168&gt;$I180,SummaryDefs!$K7,0)))</f>
        <v>-1</v>
      </c>
      <c r="D180" s="1">
        <f>IF(G180,IF(D168&lt;SummaryDefs!$H7,SummaryDefs!$J7,IF(D168&gt;SummaryDefs!$I7,SummaryDefs!$K7,0)),IF(D168&lt;$J180,SummaryDefs!$J7,IF(D168&gt;$K180,SummaryDefs!$K7,0)))</f>
        <v>-1</v>
      </c>
      <c r="F180" t="b">
        <f>Width_DS&gt;SummaryDefs!$E7</f>
        <v>1</v>
      </c>
      <c r="G180" t="b">
        <f>Width_DS&gt;SummaryDefs!$S7</f>
        <v>1</v>
      </c>
      <c r="H180" s="36" t="e">
        <f>SummaryDefs!F7*Width_DS</f>
        <v>#N/A</v>
      </c>
      <c r="I180" s="36" t="e">
        <f>SummaryDefs!G7*Width_DS</f>
        <v>#N/A</v>
      </c>
      <c r="J180" s="36" t="e">
        <f>SummaryDefs!T7*Width_DS</f>
        <v>#N/A</v>
      </c>
      <c r="K180" s="36" t="e">
        <f>SummaryDefs!U7*Width_US</f>
        <v>#N/A</v>
      </c>
    </row>
    <row r="181" spans="1:11" x14ac:dyDescent="0.25">
      <c r="A181">
        <v>5</v>
      </c>
      <c r="B181" s="1" t="s">
        <v>158</v>
      </c>
      <c r="C181" s="1">
        <f>IF(F181,IF(C169&lt;SummaryDefs!$H8,SummaryDefs!$J8,IF(C169&gt;SummaryDefs!$I8,SummaryDefs!$K8,0)),IF(C169&lt;$H181,SummaryDefs!$J8,IF(C169&gt;$I181,SummaryDefs!$K8,0)))</f>
        <v>-1</v>
      </c>
      <c r="D181" s="1">
        <f>IF(G181,IF(D169&lt;SummaryDefs!$H8,SummaryDefs!$J8,IF(D169&gt;SummaryDefs!$I8,SummaryDefs!$K8,0)),IF(D169&lt;$J181,SummaryDefs!$J8,IF(D169&gt;$K181,SummaryDefs!$K8,0)))</f>
        <v>-1</v>
      </c>
      <c r="F181" t="b">
        <f>Width_DS&gt;SummaryDefs!$E8</f>
        <v>1</v>
      </c>
      <c r="G181" t="b">
        <f>Width_DS&gt;SummaryDefs!$S8</f>
        <v>1</v>
      </c>
      <c r="H181" s="36" t="e">
        <f>SummaryDefs!F8*Width_DS</f>
        <v>#N/A</v>
      </c>
      <c r="I181" s="36" t="e">
        <f>SummaryDefs!G8*Width_DS</f>
        <v>#N/A</v>
      </c>
      <c r="J181" s="36" t="e">
        <f>SummaryDefs!T8*Width_DS</f>
        <v>#N/A</v>
      </c>
      <c r="K181" s="36" t="e">
        <f>SummaryDefs!U8*Width_US</f>
        <v>#N/A</v>
      </c>
    </row>
    <row r="182" spans="1:11" x14ac:dyDescent="0.25">
      <c r="A182">
        <v>6</v>
      </c>
      <c r="B182" s="1" t="s">
        <v>159</v>
      </c>
      <c r="C182" s="1">
        <f>IF(F182,IF(C170&lt;SummaryDefs!$H9,SummaryDefs!$J9,IF(C170&gt;SummaryDefs!$I9,SummaryDefs!$K9,0)),IF(C170&lt;$H182,SummaryDefs!$J9,IF(C170&gt;$I182,SummaryDefs!$K9,0)))</f>
        <v>-1</v>
      </c>
      <c r="D182" s="1">
        <f>IF(G182,IF(D170&lt;SummaryDefs!$H9,SummaryDefs!$J9,IF(D170&gt;SummaryDefs!$I9,SummaryDefs!$K9,0)),IF(D170&lt;$J182,SummaryDefs!$J9,IF(D170&gt;$K182,SummaryDefs!$K9,0)))</f>
        <v>-1</v>
      </c>
      <c r="F182" t="b">
        <f>Width_DS&gt;SummaryDefs!$E9</f>
        <v>1</v>
      </c>
      <c r="G182" t="b">
        <f>Width_DS&gt;SummaryDefs!$S9</f>
        <v>1</v>
      </c>
      <c r="H182" s="36" t="e">
        <f>SummaryDefs!F9*Width_DS</f>
        <v>#N/A</v>
      </c>
      <c r="I182" s="36" t="e">
        <f>SummaryDefs!G9*Width_DS</f>
        <v>#N/A</v>
      </c>
      <c r="J182" s="36" t="e">
        <f>SummaryDefs!T9*Width_DS</f>
        <v>#N/A</v>
      </c>
      <c r="K182" s="36" t="e">
        <f>SummaryDefs!U9*Width_US</f>
        <v>#N/A</v>
      </c>
    </row>
    <row r="183" spans="1:11" x14ac:dyDescent="0.25">
      <c r="A183">
        <v>7</v>
      </c>
      <c r="B183" s="1" t="s">
        <v>160</v>
      </c>
      <c r="C183" s="1">
        <f>IF(F183,IF(C171&lt;SummaryDefs!$H10,SummaryDefs!$J10,IF(C171&gt;SummaryDefs!$I10,SummaryDefs!$K10,0)),IF(C171&lt;$H183,SummaryDefs!$J10,IF(C171&gt;$I183,SummaryDefs!$K10,0)))</f>
        <v>-1</v>
      </c>
      <c r="D183" s="1">
        <f>IF(G183,IF(D171&lt;SummaryDefs!$H10,SummaryDefs!$J10,IF(D171&gt;SummaryDefs!$I10,SummaryDefs!$K10,0)),IF(D171&lt;$J183,SummaryDefs!$J10,IF(D171&gt;$K183,SummaryDefs!$K10,0)))</f>
        <v>0</v>
      </c>
      <c r="F183" t="b">
        <f>Width_DS&gt;SummaryDefs!$E10</f>
        <v>1</v>
      </c>
      <c r="G183" t="b">
        <f>Width_DS&gt;SummaryDefs!$S10</f>
        <v>1</v>
      </c>
      <c r="H183" s="36" t="e">
        <f>SummaryDefs!F10*Width_DS</f>
        <v>#N/A</v>
      </c>
      <c r="I183" s="36" t="e">
        <f>SummaryDefs!G10*Width_DS</f>
        <v>#N/A</v>
      </c>
      <c r="J183" s="36" t="e">
        <f>SummaryDefs!T10*Width_DS</f>
        <v>#N/A</v>
      </c>
      <c r="K183" s="36" t="e">
        <f>SummaryDefs!U10*Width_US</f>
        <v>#N/A</v>
      </c>
    </row>
    <row r="184" spans="1:11" x14ac:dyDescent="0.25">
      <c r="A184">
        <v>8</v>
      </c>
      <c r="B184" s="1" t="s">
        <v>161</v>
      </c>
      <c r="C184" s="1">
        <f>IF(F184,IF(C172&lt;SummaryDefs!$H11,SummaryDefs!$J11,IF(C172&gt;SummaryDefs!$I11,SummaryDefs!$K11,0)),IF(C172&lt;$H184,SummaryDefs!$J11,IF(C172&gt;$I184,SummaryDefs!$K11,0)))</f>
        <v>1</v>
      </c>
      <c r="D184" s="1">
        <f>IF(G184,IF(D172&lt;SummaryDefs!$H11,SummaryDefs!$J11,IF(D172&gt;SummaryDefs!$I11,SummaryDefs!$K11,0)),IF(D172&lt;$J184,SummaryDefs!$J11,IF(D172&gt;$K184,SummaryDefs!$K11,0)))</f>
        <v>1</v>
      </c>
      <c r="F184" t="b">
        <f>Width_DS&gt;SummaryDefs!$E11</f>
        <v>1</v>
      </c>
      <c r="G184" t="b">
        <f>Width_DS&gt;SummaryDefs!$S11</f>
        <v>1</v>
      </c>
      <c r="H184" s="36" t="e">
        <f>SummaryDefs!F11*Width_DS</f>
        <v>#N/A</v>
      </c>
      <c r="I184" s="36" t="e">
        <f>SummaryDefs!G11*Width_DS</f>
        <v>#N/A</v>
      </c>
      <c r="J184" s="36" t="e">
        <f>SummaryDefs!T11*Width_DS</f>
        <v>#N/A</v>
      </c>
      <c r="K184" s="36" t="e">
        <f>SummaryDefs!U11*Width_US</f>
        <v>#N/A</v>
      </c>
    </row>
    <row r="185" spans="1:11" x14ac:dyDescent="0.25">
      <c r="A185">
        <v>9</v>
      </c>
      <c r="B185" s="1" t="s">
        <v>162</v>
      </c>
      <c r="C185" s="1">
        <f>IF(F185,IF(C173&lt;SummaryDefs!$H12,SummaryDefs!$J12,IF(C173&gt;SummaryDefs!$I12,SummaryDefs!$K12,0)),IF(C173&lt;$H185,SummaryDefs!$J12,IF(C173&gt;$I185,SummaryDefs!$K12,0)))</f>
        <v>1</v>
      </c>
      <c r="D185" s="1">
        <f>IF(G185,IF(D173&lt;SummaryDefs!$H12,SummaryDefs!$J12,IF(D173&gt;SummaryDefs!$I12,SummaryDefs!$K12,0)),IF(D173&lt;$J185,SummaryDefs!$J12,IF(D173&gt;$K185,SummaryDefs!$K12,0)))</f>
        <v>1</v>
      </c>
      <c r="F185" t="b">
        <f>Width_DS&gt;SummaryDefs!$E12</f>
        <v>1</v>
      </c>
      <c r="G185" t="b">
        <f>Width_DS&gt;SummaryDefs!$S12</f>
        <v>1</v>
      </c>
      <c r="H185" s="36" t="e">
        <f>SummaryDefs!F12*Width_DS</f>
        <v>#N/A</v>
      </c>
      <c r="I185" s="36" t="e">
        <f>SummaryDefs!G12*Width_DS</f>
        <v>#N/A</v>
      </c>
      <c r="J185" s="36" t="e">
        <f>SummaryDefs!T12*Width_DS</f>
        <v>#N/A</v>
      </c>
      <c r="K185" s="36" t="e">
        <f>SummaryDefs!U12*Width_US</f>
        <v>#N/A</v>
      </c>
    </row>
    <row r="187" spans="1:11" ht="15.75" thickBot="1" x14ac:dyDescent="0.3">
      <c r="B187" s="15" t="s">
        <v>163</v>
      </c>
      <c r="C187">
        <f>SUM(C177:C185)</f>
        <v>-5</v>
      </c>
      <c r="D187">
        <f>SUM(D177:D185)</f>
        <v>-3</v>
      </c>
    </row>
    <row r="188" spans="1:11" ht="15.75" thickBot="1" x14ac:dyDescent="0.3">
      <c r="C188" s="37" t="str">
        <f>IF(C187&lt;=Poor_Thresh,"Poor",IF(C187&gt;=Excellent_Thresh,"Excellent","Acceptable"))</f>
        <v>Poor</v>
      </c>
      <c r="D188" s="38" t="str">
        <f>IF(D187&lt;=Poor_Thresh,"Poor",IF(D187&gt;=Excellent_Thresh,"Excellent","Acceptable"))</f>
        <v>Acceptable</v>
      </c>
    </row>
  </sheetData>
  <sheetProtection formatCells="0" autoFilter="0"/>
  <autoFilter ref="A7:I140" xr:uid="{39193E5C-3EF9-4371-8A61-8DF2C6DFF748}"/>
  <conditionalFormatting sqref="E8:E140">
    <cfRule type="expression" dxfId="3" priority="4">
      <formula>AND(SUM(C8:D8)&gt;0,ISBLANK(E8))</formula>
    </cfRule>
  </conditionalFormatting>
  <conditionalFormatting sqref="H177:I179">
    <cfRule type="expression" dxfId="2" priority="3">
      <formula>$F$177</formula>
    </cfRule>
  </conditionalFormatting>
  <conditionalFormatting sqref="J177:K179">
    <cfRule type="expression" dxfId="1" priority="2">
      <formula>$F$177</formula>
    </cfRule>
  </conditionalFormatting>
  <conditionalFormatting sqref="H8:I140">
    <cfRule type="cellIs" dxfId="0" priority="1" operator="greaterThan">
      <formula>0</formula>
    </cfRule>
  </conditionalFormatting>
  <dataValidations count="3">
    <dataValidation type="list" allowBlank="1" showInputMessage="1" showErrorMessage="1" sqref="C5:D5" xr:uid="{5D2465CD-2FD4-43CE-BF1B-7169D2FDCB6A}">
      <formula1>Ecoregions</formula1>
    </dataValidation>
    <dataValidation type="date" operator="greaterThanOrEqual" allowBlank="1" showInputMessage="1" showErrorMessage="1" sqref="C4:D4" xr:uid="{4CBD3C6E-6D9F-44AA-84A5-85FC85A55C90}">
      <formula1>36526</formula1>
    </dataValidation>
    <dataValidation type="whole" operator="greaterThanOrEqual" allowBlank="1" showInputMessage="1" showErrorMessage="1" sqref="C8:D140" xr:uid="{ECC3C18C-090B-4987-B0FE-419764DBB118}">
      <formula1>0</formula1>
    </dataValidation>
  </dataValidations>
  <pageMargins left="0.7" right="0.7" top="0.75" bottom="0.75" header="0.3" footer="0.3"/>
  <pageSetup orientation="portrait" r:id="rId1"/>
  <ignoredErrors>
    <ignoredError sqref="H180:H185 J180:K185" evalError="1"/>
    <ignoredError sqref="I181:I185 I180" evalError="1" formula="1"/>
    <ignoredError sqref="I177:I179"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51" r:id="rId4" name="Button 27">
              <controlPr defaultSize="0" print="0" autoFill="0" autoPict="0" macro="[0]!DataEntryMode">
                <anchor moveWithCells="1" sizeWithCells="1">
                  <from>
                    <xdr:col>0</xdr:col>
                    <xdr:colOff>133350</xdr:colOff>
                    <xdr:row>1</xdr:row>
                    <xdr:rowOff>152400</xdr:rowOff>
                  </from>
                  <to>
                    <xdr:col>0</xdr:col>
                    <xdr:colOff>1400175</xdr:colOff>
                    <xdr:row>3</xdr:row>
                    <xdr:rowOff>19050</xdr:rowOff>
                  </to>
                </anchor>
              </controlPr>
            </control>
          </mc:Choice>
        </mc:AlternateContent>
        <mc:AlternateContent xmlns:mc="http://schemas.openxmlformats.org/markup-compatibility/2006">
          <mc:Choice Requires="x14">
            <control shapeId="1052" r:id="rId5" name="Button 28">
              <controlPr defaultSize="0" print="0" autoFill="0" autoPict="0" macro="[0]!DevMode">
                <anchor moveWithCells="1" sizeWithCells="1">
                  <from>
                    <xdr:col>0</xdr:col>
                    <xdr:colOff>114300</xdr:colOff>
                    <xdr:row>3</xdr:row>
                    <xdr:rowOff>104775</xdr:rowOff>
                  </from>
                  <to>
                    <xdr:col>0</xdr:col>
                    <xdr:colOff>1390650</xdr:colOff>
                    <xdr:row>4</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CF68D-9435-4CE1-805A-AABA2498BB21}">
  <sheetPr codeName="Sheet3"/>
  <dimension ref="B1:AA60"/>
  <sheetViews>
    <sheetView zoomScale="85" zoomScaleNormal="85" workbookViewId="0">
      <selection activeCell="O37" sqref="O37"/>
    </sheetView>
  </sheetViews>
  <sheetFormatPr defaultRowHeight="15" x14ac:dyDescent="0.25"/>
  <cols>
    <col min="2" max="2" width="11.5703125" customWidth="1"/>
    <col min="3" max="3" width="11" bestFit="1" customWidth="1"/>
    <col min="4" max="4" width="20.7109375" bestFit="1" customWidth="1"/>
    <col min="5" max="5" width="13.28515625" customWidth="1"/>
    <col min="6" max="6" width="11.7109375" bestFit="1" customWidth="1"/>
    <col min="7" max="7" width="11.5703125" bestFit="1" customWidth="1"/>
    <col min="8" max="8" width="9.5703125" bestFit="1" customWidth="1"/>
    <col min="9" max="9" width="9.7109375" bestFit="1" customWidth="1"/>
    <col min="10" max="10" width="9.28515625" bestFit="1" customWidth="1"/>
    <col min="11" max="11" width="9.42578125" bestFit="1" customWidth="1"/>
  </cols>
  <sheetData>
    <row r="1" spans="2:27" x14ac:dyDescent="0.25">
      <c r="B1" s="27" t="s">
        <v>304</v>
      </c>
    </row>
    <row r="2" spans="2:27" x14ac:dyDescent="0.25">
      <c r="B2" s="15" t="s">
        <v>302</v>
      </c>
      <c r="E2">
        <v>4</v>
      </c>
      <c r="F2">
        <v>5</v>
      </c>
      <c r="G2">
        <v>6</v>
      </c>
      <c r="H2">
        <v>7</v>
      </c>
      <c r="I2">
        <v>8</v>
      </c>
      <c r="J2">
        <v>9</v>
      </c>
      <c r="K2">
        <v>10</v>
      </c>
      <c r="P2" s="15" t="s">
        <v>303</v>
      </c>
      <c r="S2">
        <v>4</v>
      </c>
      <c r="T2">
        <v>5</v>
      </c>
      <c r="U2">
        <v>6</v>
      </c>
      <c r="V2">
        <v>7</v>
      </c>
      <c r="W2">
        <v>8</v>
      </c>
      <c r="X2">
        <v>9</v>
      </c>
      <c r="Y2">
        <v>10</v>
      </c>
    </row>
    <row r="3" spans="2:27" x14ac:dyDescent="0.25">
      <c r="B3" s="51" t="s">
        <v>4</v>
      </c>
      <c r="C3" s="51" t="s">
        <v>254</v>
      </c>
      <c r="D3" s="51" t="s">
        <v>255</v>
      </c>
      <c r="E3" s="51" t="s">
        <v>256</v>
      </c>
      <c r="F3" s="51" t="s">
        <v>258</v>
      </c>
      <c r="G3" s="51" t="s">
        <v>257</v>
      </c>
      <c r="H3" s="51" t="s">
        <v>259</v>
      </c>
      <c r="I3" s="51" t="s">
        <v>260</v>
      </c>
      <c r="J3" s="51" t="s">
        <v>261</v>
      </c>
      <c r="K3" s="51" t="s">
        <v>262</v>
      </c>
      <c r="L3" s="54" t="s">
        <v>299</v>
      </c>
      <c r="M3" s="54" t="s">
        <v>298</v>
      </c>
      <c r="P3" s="51" t="s">
        <v>4</v>
      </c>
      <c r="Q3" s="51" t="s">
        <v>254</v>
      </c>
      <c r="R3" s="51" t="s">
        <v>255</v>
      </c>
      <c r="S3" s="51" t="s">
        <v>256</v>
      </c>
      <c r="T3" s="51" t="s">
        <v>258</v>
      </c>
      <c r="U3" s="51" t="s">
        <v>257</v>
      </c>
      <c r="V3" s="51" t="s">
        <v>259</v>
      </c>
      <c r="W3" s="51" t="s">
        <v>260</v>
      </c>
      <c r="X3" s="51" t="s">
        <v>261</v>
      </c>
      <c r="Y3" s="51" t="s">
        <v>262</v>
      </c>
      <c r="Z3" s="54" t="s">
        <v>299</v>
      </c>
      <c r="AA3" s="54" t="s">
        <v>298</v>
      </c>
    </row>
    <row r="4" spans="2:27" x14ac:dyDescent="0.25">
      <c r="B4" s="51" t="str">
        <f t="shared" ref="B4:B12" si="0">ecoregion_DS</f>
        <v>SMNITP</v>
      </c>
      <c r="C4" s="51">
        <v>1</v>
      </c>
      <c r="D4" s="51" t="s">
        <v>135</v>
      </c>
      <c r="E4" s="52">
        <f t="shared" ref="E4:K12" si="1">INDEX(eco_summary_defs,$M4,E$2)</f>
        <v>7</v>
      </c>
      <c r="F4" s="52">
        <f t="shared" si="1"/>
        <v>1.7</v>
      </c>
      <c r="G4" s="52">
        <f t="shared" si="1"/>
        <v>3.3</v>
      </c>
      <c r="H4" s="52">
        <f t="shared" si="1"/>
        <v>12</v>
      </c>
      <c r="I4" s="52">
        <f t="shared" si="1"/>
        <v>24</v>
      </c>
      <c r="J4" s="52">
        <f t="shared" si="1"/>
        <v>-1</v>
      </c>
      <c r="K4" s="52">
        <f t="shared" si="1"/>
        <v>1</v>
      </c>
      <c r="L4" t="str">
        <f t="shared" ref="L4:L12" si="2">B4&amp;"_"&amp;C4</f>
        <v>SMNITP_1</v>
      </c>
      <c r="M4">
        <f>MATCH(L4,EcoMetricKey,0)</f>
        <v>37</v>
      </c>
      <c r="P4" s="51" t="str">
        <f t="shared" ref="P4:P12" si="3">ecoregion_US</f>
        <v>SMNITP</v>
      </c>
      <c r="Q4" s="51">
        <v>1</v>
      </c>
      <c r="R4" s="51" t="s">
        <v>135</v>
      </c>
      <c r="S4" s="52">
        <f t="shared" ref="S4:S12" si="4">INDEX(eco_summary_defs,$AA4,S$2)</f>
        <v>7</v>
      </c>
      <c r="T4" s="52">
        <f t="shared" ref="T4:Y12" si="5">INDEX(eco_summary_defs,$M4,T$2)</f>
        <v>1.7</v>
      </c>
      <c r="U4" s="52">
        <f t="shared" si="5"/>
        <v>3.3</v>
      </c>
      <c r="V4" s="52">
        <f t="shared" si="5"/>
        <v>12</v>
      </c>
      <c r="W4" s="52">
        <f t="shared" si="5"/>
        <v>24</v>
      </c>
      <c r="X4" s="52">
        <f t="shared" si="5"/>
        <v>-1</v>
      </c>
      <c r="Y4" s="52">
        <f t="shared" si="5"/>
        <v>1</v>
      </c>
      <c r="Z4" t="str">
        <f t="shared" ref="Z4:Z12" si="6">P4&amp;"_"&amp;Q4</f>
        <v>SMNITP_1</v>
      </c>
      <c r="AA4">
        <f>MATCH(Z4,EcoMetricKey,0)</f>
        <v>37</v>
      </c>
    </row>
    <row r="5" spans="2:27" x14ac:dyDescent="0.25">
      <c r="B5" s="51" t="str">
        <f t="shared" si="0"/>
        <v>SMNITP</v>
      </c>
      <c r="C5" s="51">
        <v>2</v>
      </c>
      <c r="D5" s="51" t="s">
        <v>155</v>
      </c>
      <c r="E5" s="52">
        <f t="shared" si="1"/>
        <v>12</v>
      </c>
      <c r="F5" s="52">
        <f t="shared" si="1"/>
        <v>0.1</v>
      </c>
      <c r="G5" s="52">
        <f t="shared" si="1"/>
        <v>0.3</v>
      </c>
      <c r="H5" s="52">
        <f t="shared" si="1"/>
        <v>2</v>
      </c>
      <c r="I5" s="52">
        <f t="shared" si="1"/>
        <v>3</v>
      </c>
      <c r="J5" s="52">
        <f t="shared" si="1"/>
        <v>-1</v>
      </c>
      <c r="K5" s="52">
        <f t="shared" si="1"/>
        <v>1</v>
      </c>
      <c r="L5" t="str">
        <f t="shared" si="2"/>
        <v>SMNITP_2</v>
      </c>
      <c r="M5">
        <f t="shared" ref="M5:M12" si="7">MATCH(L5,EcoMetricKey,0)</f>
        <v>38</v>
      </c>
      <c r="P5" s="51" t="str">
        <f t="shared" si="3"/>
        <v>SMNITP</v>
      </c>
      <c r="Q5" s="51">
        <v>2</v>
      </c>
      <c r="R5" s="51" t="s">
        <v>155</v>
      </c>
      <c r="S5" s="52">
        <f t="shared" si="4"/>
        <v>12</v>
      </c>
      <c r="T5" s="52">
        <f t="shared" si="5"/>
        <v>0.1</v>
      </c>
      <c r="U5" s="52">
        <f t="shared" si="5"/>
        <v>0.3</v>
      </c>
      <c r="V5" s="52">
        <f t="shared" si="5"/>
        <v>2</v>
      </c>
      <c r="W5" s="52">
        <f t="shared" si="5"/>
        <v>3</v>
      </c>
      <c r="X5" s="52">
        <f t="shared" si="5"/>
        <v>-1</v>
      </c>
      <c r="Y5" s="52">
        <f t="shared" si="5"/>
        <v>1</v>
      </c>
      <c r="Z5" t="str">
        <f t="shared" si="6"/>
        <v>SMNITP_2</v>
      </c>
      <c r="AA5">
        <f t="shared" ref="AA5:AA12" si="8">MATCH(Z5,EcoMetricKey,0)</f>
        <v>38</v>
      </c>
    </row>
    <row r="6" spans="2:27" x14ac:dyDescent="0.25">
      <c r="B6" s="51" t="str">
        <f t="shared" si="0"/>
        <v>SMNITP</v>
      </c>
      <c r="C6" s="51">
        <v>3</v>
      </c>
      <c r="D6" s="51" t="s">
        <v>156</v>
      </c>
      <c r="E6" s="52">
        <f t="shared" si="1"/>
        <v>8</v>
      </c>
      <c r="F6" s="52">
        <f t="shared" si="1"/>
        <v>0.21</v>
      </c>
      <c r="G6" s="52">
        <f t="shared" si="1"/>
        <v>0.6</v>
      </c>
      <c r="H6" s="52">
        <f t="shared" si="1"/>
        <v>2</v>
      </c>
      <c r="I6" s="52">
        <f t="shared" si="1"/>
        <v>4</v>
      </c>
      <c r="J6" s="52">
        <f t="shared" si="1"/>
        <v>-1</v>
      </c>
      <c r="K6" s="52">
        <f t="shared" si="1"/>
        <v>1</v>
      </c>
      <c r="L6" t="str">
        <f t="shared" si="2"/>
        <v>SMNITP_3</v>
      </c>
      <c r="M6">
        <f t="shared" si="7"/>
        <v>39</v>
      </c>
      <c r="P6" s="51" t="str">
        <f t="shared" si="3"/>
        <v>SMNITP</v>
      </c>
      <c r="Q6" s="51">
        <v>3</v>
      </c>
      <c r="R6" s="51" t="s">
        <v>156</v>
      </c>
      <c r="S6" s="52">
        <f t="shared" si="4"/>
        <v>8</v>
      </c>
      <c r="T6" s="52">
        <f t="shared" si="5"/>
        <v>0.21</v>
      </c>
      <c r="U6" s="52">
        <f t="shared" si="5"/>
        <v>0.6</v>
      </c>
      <c r="V6" s="52">
        <f t="shared" si="5"/>
        <v>2</v>
      </c>
      <c r="W6" s="52">
        <f t="shared" si="5"/>
        <v>4</v>
      </c>
      <c r="X6" s="52">
        <f t="shared" si="5"/>
        <v>-1</v>
      </c>
      <c r="Y6" s="52">
        <f t="shared" si="5"/>
        <v>1</v>
      </c>
      <c r="Z6" t="str">
        <f t="shared" si="6"/>
        <v>SMNITP_3</v>
      </c>
      <c r="AA6">
        <f t="shared" si="8"/>
        <v>39</v>
      </c>
    </row>
    <row r="7" spans="2:27" x14ac:dyDescent="0.25">
      <c r="B7" s="51" t="str">
        <f t="shared" si="0"/>
        <v>SMNITP</v>
      </c>
      <c r="C7" s="51">
        <v>4</v>
      </c>
      <c r="D7" s="51" t="s">
        <v>157</v>
      </c>
      <c r="E7" s="52">
        <f t="shared" si="1"/>
        <v>0</v>
      </c>
      <c r="F7" s="52" t="e">
        <f t="shared" si="1"/>
        <v>#N/A</v>
      </c>
      <c r="G7" s="52" t="e">
        <f t="shared" si="1"/>
        <v>#N/A</v>
      </c>
      <c r="H7" s="52">
        <f t="shared" si="1"/>
        <v>0.1</v>
      </c>
      <c r="I7" s="52">
        <f t="shared" si="1"/>
        <v>0.9</v>
      </c>
      <c r="J7" s="52">
        <f t="shared" si="1"/>
        <v>-1</v>
      </c>
      <c r="K7" s="52">
        <f t="shared" si="1"/>
        <v>1</v>
      </c>
      <c r="L7" t="str">
        <f t="shared" si="2"/>
        <v>SMNITP_4</v>
      </c>
      <c r="M7">
        <f t="shared" si="7"/>
        <v>40</v>
      </c>
      <c r="P7" s="51" t="str">
        <f t="shared" si="3"/>
        <v>SMNITP</v>
      </c>
      <c r="Q7" s="51">
        <v>4</v>
      </c>
      <c r="R7" s="51" t="s">
        <v>157</v>
      </c>
      <c r="S7" s="52">
        <f t="shared" si="4"/>
        <v>0</v>
      </c>
      <c r="T7" s="52" t="e">
        <f t="shared" si="5"/>
        <v>#N/A</v>
      </c>
      <c r="U7" s="52" t="e">
        <f t="shared" si="5"/>
        <v>#N/A</v>
      </c>
      <c r="V7" s="52">
        <f t="shared" si="5"/>
        <v>0.1</v>
      </c>
      <c r="W7" s="52">
        <f t="shared" si="5"/>
        <v>0.9</v>
      </c>
      <c r="X7" s="52">
        <f t="shared" si="5"/>
        <v>-1</v>
      </c>
      <c r="Y7" s="52">
        <f t="shared" si="5"/>
        <v>1</v>
      </c>
      <c r="Z7" t="str">
        <f t="shared" si="6"/>
        <v>SMNITP_4</v>
      </c>
      <c r="AA7">
        <f t="shared" si="8"/>
        <v>40</v>
      </c>
    </row>
    <row r="8" spans="2:27" x14ac:dyDescent="0.25">
      <c r="B8" s="51" t="str">
        <f t="shared" si="0"/>
        <v>SMNITP</v>
      </c>
      <c r="C8" s="51">
        <v>5</v>
      </c>
      <c r="D8" s="51" t="s">
        <v>158</v>
      </c>
      <c r="E8" s="52">
        <f t="shared" si="1"/>
        <v>0</v>
      </c>
      <c r="F8" s="52" t="e">
        <f t="shared" si="1"/>
        <v>#N/A</v>
      </c>
      <c r="G8" s="52" t="e">
        <f t="shared" si="1"/>
        <v>#N/A</v>
      </c>
      <c r="H8" s="52">
        <f t="shared" si="1"/>
        <v>0.03</v>
      </c>
      <c r="I8" s="52">
        <f t="shared" si="1"/>
        <v>0.18</v>
      </c>
      <c r="J8" s="52">
        <f t="shared" si="1"/>
        <v>-1</v>
      </c>
      <c r="K8" s="52">
        <f t="shared" si="1"/>
        <v>1</v>
      </c>
      <c r="L8" t="str">
        <f t="shared" si="2"/>
        <v>SMNITP_5</v>
      </c>
      <c r="M8">
        <f t="shared" si="7"/>
        <v>41</v>
      </c>
      <c r="P8" s="51" t="str">
        <f t="shared" si="3"/>
        <v>SMNITP</v>
      </c>
      <c r="Q8" s="51">
        <v>5</v>
      </c>
      <c r="R8" s="51" t="s">
        <v>158</v>
      </c>
      <c r="S8" s="52">
        <f t="shared" si="4"/>
        <v>0</v>
      </c>
      <c r="T8" s="52" t="e">
        <f t="shared" si="5"/>
        <v>#N/A</v>
      </c>
      <c r="U8" s="52" t="e">
        <f t="shared" si="5"/>
        <v>#N/A</v>
      </c>
      <c r="V8" s="52">
        <f t="shared" si="5"/>
        <v>0.03</v>
      </c>
      <c r="W8" s="52">
        <f t="shared" si="5"/>
        <v>0.18</v>
      </c>
      <c r="X8" s="52">
        <f t="shared" si="5"/>
        <v>-1</v>
      </c>
      <c r="Y8" s="52">
        <f t="shared" si="5"/>
        <v>1</v>
      </c>
      <c r="Z8" t="str">
        <f t="shared" si="6"/>
        <v>SMNITP_5</v>
      </c>
      <c r="AA8">
        <f t="shared" si="8"/>
        <v>41</v>
      </c>
    </row>
    <row r="9" spans="2:27" x14ac:dyDescent="0.25">
      <c r="B9" s="51" t="str">
        <f t="shared" si="0"/>
        <v>SMNITP</v>
      </c>
      <c r="C9" s="51">
        <v>6</v>
      </c>
      <c r="D9" s="51" t="s">
        <v>159</v>
      </c>
      <c r="E9" s="52">
        <f t="shared" si="1"/>
        <v>0</v>
      </c>
      <c r="F9" s="52" t="e">
        <f t="shared" si="1"/>
        <v>#N/A</v>
      </c>
      <c r="G9" s="52" t="e">
        <f t="shared" si="1"/>
        <v>#N/A</v>
      </c>
      <c r="H9" s="52">
        <f t="shared" si="1"/>
        <v>0.04</v>
      </c>
      <c r="I9" s="52">
        <f t="shared" si="1"/>
        <v>0.28000000000000003</v>
      </c>
      <c r="J9" s="52">
        <f t="shared" si="1"/>
        <v>-1</v>
      </c>
      <c r="K9" s="52">
        <f t="shared" si="1"/>
        <v>1</v>
      </c>
      <c r="L9" t="str">
        <f t="shared" si="2"/>
        <v>SMNITP_6</v>
      </c>
      <c r="M9">
        <f t="shared" si="7"/>
        <v>42</v>
      </c>
      <c r="P9" s="51" t="str">
        <f t="shared" si="3"/>
        <v>SMNITP</v>
      </c>
      <c r="Q9" s="51">
        <v>6</v>
      </c>
      <c r="R9" s="51" t="s">
        <v>159</v>
      </c>
      <c r="S9" s="52">
        <f t="shared" si="4"/>
        <v>0</v>
      </c>
      <c r="T9" s="52" t="e">
        <f t="shared" si="5"/>
        <v>#N/A</v>
      </c>
      <c r="U9" s="52" t="e">
        <f t="shared" si="5"/>
        <v>#N/A</v>
      </c>
      <c r="V9" s="52">
        <f t="shared" si="5"/>
        <v>0.04</v>
      </c>
      <c r="W9" s="52">
        <f t="shared" si="5"/>
        <v>0.28000000000000003</v>
      </c>
      <c r="X9" s="52">
        <f t="shared" si="5"/>
        <v>-1</v>
      </c>
      <c r="Y9" s="52">
        <f t="shared" si="5"/>
        <v>1</v>
      </c>
      <c r="Z9" t="str">
        <f t="shared" si="6"/>
        <v>SMNITP_6</v>
      </c>
      <c r="AA9">
        <f t="shared" si="8"/>
        <v>42</v>
      </c>
    </row>
    <row r="10" spans="2:27" x14ac:dyDescent="0.25">
      <c r="B10" s="51" t="str">
        <f t="shared" si="0"/>
        <v>SMNITP</v>
      </c>
      <c r="C10" s="51">
        <v>7</v>
      </c>
      <c r="D10" s="51" t="s">
        <v>160</v>
      </c>
      <c r="E10" s="52">
        <f t="shared" si="1"/>
        <v>0</v>
      </c>
      <c r="F10" s="52" t="e">
        <f t="shared" si="1"/>
        <v>#N/A</v>
      </c>
      <c r="G10" s="52" t="e">
        <f t="shared" si="1"/>
        <v>#N/A</v>
      </c>
      <c r="H10" s="52">
        <f t="shared" si="1"/>
        <v>0.2</v>
      </c>
      <c r="I10" s="52">
        <f t="shared" si="1"/>
        <v>0.37</v>
      </c>
      <c r="J10" s="52">
        <f t="shared" si="1"/>
        <v>1</v>
      </c>
      <c r="K10" s="52">
        <f t="shared" si="1"/>
        <v>-1</v>
      </c>
      <c r="L10" t="str">
        <f t="shared" si="2"/>
        <v>SMNITP_7</v>
      </c>
      <c r="M10">
        <f t="shared" si="7"/>
        <v>43</v>
      </c>
      <c r="P10" s="51" t="str">
        <f t="shared" si="3"/>
        <v>SMNITP</v>
      </c>
      <c r="Q10" s="51">
        <v>7</v>
      </c>
      <c r="R10" s="51" t="s">
        <v>160</v>
      </c>
      <c r="S10" s="52">
        <f t="shared" si="4"/>
        <v>0</v>
      </c>
      <c r="T10" s="52" t="e">
        <f t="shared" si="5"/>
        <v>#N/A</v>
      </c>
      <c r="U10" s="52" t="e">
        <f t="shared" si="5"/>
        <v>#N/A</v>
      </c>
      <c r="V10" s="52">
        <f t="shared" si="5"/>
        <v>0.2</v>
      </c>
      <c r="W10" s="52">
        <f t="shared" si="5"/>
        <v>0.37</v>
      </c>
      <c r="X10" s="52">
        <f t="shared" si="5"/>
        <v>1</v>
      </c>
      <c r="Y10" s="52">
        <f t="shared" si="5"/>
        <v>-1</v>
      </c>
      <c r="Z10" t="str">
        <f t="shared" si="6"/>
        <v>SMNITP_7</v>
      </c>
      <c r="AA10">
        <f t="shared" si="8"/>
        <v>43</v>
      </c>
    </row>
    <row r="11" spans="2:27" x14ac:dyDescent="0.25">
      <c r="B11" s="51" t="str">
        <f t="shared" si="0"/>
        <v>SMNITP</v>
      </c>
      <c r="C11" s="51">
        <v>8</v>
      </c>
      <c r="D11" s="51" t="s">
        <v>161</v>
      </c>
      <c r="E11" s="52">
        <f t="shared" si="1"/>
        <v>0</v>
      </c>
      <c r="F11" s="52" t="e">
        <f t="shared" si="1"/>
        <v>#N/A</v>
      </c>
      <c r="G11" s="52" t="e">
        <f t="shared" si="1"/>
        <v>#N/A</v>
      </c>
      <c r="H11" s="52">
        <f t="shared" si="1"/>
        <v>0.04</v>
      </c>
      <c r="I11" s="52">
        <f t="shared" si="1"/>
        <v>0.1</v>
      </c>
      <c r="J11" s="52">
        <f t="shared" si="1"/>
        <v>1</v>
      </c>
      <c r="K11" s="52">
        <f t="shared" si="1"/>
        <v>-1</v>
      </c>
      <c r="L11" t="str">
        <f t="shared" si="2"/>
        <v>SMNITP_8</v>
      </c>
      <c r="M11">
        <f t="shared" si="7"/>
        <v>44</v>
      </c>
      <c r="P11" s="51" t="str">
        <f t="shared" si="3"/>
        <v>SMNITP</v>
      </c>
      <c r="Q11" s="51">
        <v>8</v>
      </c>
      <c r="R11" s="51" t="s">
        <v>161</v>
      </c>
      <c r="S11" s="52">
        <f t="shared" si="4"/>
        <v>0</v>
      </c>
      <c r="T11" s="52" t="e">
        <f t="shared" si="5"/>
        <v>#N/A</v>
      </c>
      <c r="U11" s="52" t="e">
        <f t="shared" si="5"/>
        <v>#N/A</v>
      </c>
      <c r="V11" s="52">
        <f t="shared" si="5"/>
        <v>0.04</v>
      </c>
      <c r="W11" s="52">
        <f t="shared" si="5"/>
        <v>0.1</v>
      </c>
      <c r="X11" s="52">
        <f t="shared" si="5"/>
        <v>1</v>
      </c>
      <c r="Y11" s="52">
        <f t="shared" si="5"/>
        <v>-1</v>
      </c>
      <c r="Z11" t="str">
        <f t="shared" si="6"/>
        <v>SMNITP_8</v>
      </c>
      <c r="AA11">
        <f t="shared" si="8"/>
        <v>44</v>
      </c>
    </row>
    <row r="12" spans="2:27" x14ac:dyDescent="0.25">
      <c r="B12" s="51" t="str">
        <f t="shared" si="0"/>
        <v>SMNITP</v>
      </c>
      <c r="C12" s="51">
        <v>9</v>
      </c>
      <c r="D12" s="51" t="s">
        <v>162</v>
      </c>
      <c r="E12" s="52">
        <f t="shared" si="1"/>
        <v>0</v>
      </c>
      <c r="F12" s="52" t="e">
        <f t="shared" si="1"/>
        <v>#N/A</v>
      </c>
      <c r="G12" s="52" t="e">
        <f t="shared" si="1"/>
        <v>#N/A</v>
      </c>
      <c r="H12" s="52">
        <f t="shared" si="1"/>
        <v>7.0000000000000007E-2</v>
      </c>
      <c r="I12" s="52">
        <f t="shared" si="1"/>
        <v>0.19</v>
      </c>
      <c r="J12" s="52">
        <f t="shared" si="1"/>
        <v>1</v>
      </c>
      <c r="K12" s="52">
        <f t="shared" si="1"/>
        <v>-1</v>
      </c>
      <c r="L12" t="str">
        <f t="shared" si="2"/>
        <v>SMNITP_9</v>
      </c>
      <c r="M12">
        <f t="shared" si="7"/>
        <v>45</v>
      </c>
      <c r="P12" s="51" t="str">
        <f t="shared" si="3"/>
        <v>SMNITP</v>
      </c>
      <c r="Q12" s="51">
        <v>9</v>
      </c>
      <c r="R12" s="51" t="s">
        <v>162</v>
      </c>
      <c r="S12" s="52">
        <f t="shared" si="4"/>
        <v>0</v>
      </c>
      <c r="T12" s="52" t="e">
        <f t="shared" si="5"/>
        <v>#N/A</v>
      </c>
      <c r="U12" s="52" t="e">
        <f t="shared" si="5"/>
        <v>#N/A</v>
      </c>
      <c r="V12" s="52">
        <f t="shared" si="5"/>
        <v>7.0000000000000007E-2</v>
      </c>
      <c r="W12" s="52">
        <f t="shared" si="5"/>
        <v>0.19</v>
      </c>
      <c r="X12" s="52">
        <f t="shared" si="5"/>
        <v>1</v>
      </c>
      <c r="Y12" s="52">
        <f t="shared" si="5"/>
        <v>-1</v>
      </c>
      <c r="Z12" t="str">
        <f t="shared" si="6"/>
        <v>SMNITP_9</v>
      </c>
      <c r="AA12">
        <f t="shared" si="8"/>
        <v>45</v>
      </c>
    </row>
    <row r="14" spans="2:27" x14ac:dyDescent="0.25">
      <c r="B14" s="27" t="s">
        <v>300</v>
      </c>
    </row>
    <row r="15" spans="2:27" x14ac:dyDescent="0.25">
      <c r="B15" s="15" t="s">
        <v>4</v>
      </c>
      <c r="C15" s="15" t="s">
        <v>254</v>
      </c>
      <c r="D15" s="15" t="s">
        <v>255</v>
      </c>
      <c r="E15" s="15" t="s">
        <v>256</v>
      </c>
      <c r="F15" s="15" t="s">
        <v>258</v>
      </c>
      <c r="G15" s="15" t="s">
        <v>257</v>
      </c>
      <c r="H15" s="15" t="s">
        <v>259</v>
      </c>
      <c r="I15" s="15" t="s">
        <v>260</v>
      </c>
      <c r="J15" s="15" t="s">
        <v>261</v>
      </c>
      <c r="K15" s="15" t="s">
        <v>262</v>
      </c>
      <c r="L15" s="15" t="s">
        <v>297</v>
      </c>
    </row>
    <row r="16" spans="2:27" x14ac:dyDescent="0.25">
      <c r="B16" s="53" t="s">
        <v>241</v>
      </c>
      <c r="C16" s="53">
        <v>1</v>
      </c>
      <c r="D16" s="53" t="s">
        <v>135</v>
      </c>
      <c r="E16" s="53">
        <v>15</v>
      </c>
      <c r="F16" s="53">
        <v>1.3</v>
      </c>
      <c r="G16" s="53">
        <v>2.2999999999999998</v>
      </c>
      <c r="H16" s="53">
        <v>18</v>
      </c>
      <c r="I16" s="53">
        <v>31</v>
      </c>
      <c r="J16" s="53">
        <v>-1</v>
      </c>
      <c r="K16" s="53">
        <v>1</v>
      </c>
      <c r="L16" t="str">
        <f>B16&amp;"_"&amp;C16</f>
        <v>ECB_1</v>
      </c>
    </row>
    <row r="17" spans="2:12" x14ac:dyDescent="0.25">
      <c r="B17" s="53" t="s">
        <v>241</v>
      </c>
      <c r="C17" s="53">
        <v>2</v>
      </c>
      <c r="D17" s="53" t="s">
        <v>155</v>
      </c>
      <c r="E17" s="53">
        <v>27</v>
      </c>
      <c r="F17" s="53">
        <v>0.09</v>
      </c>
      <c r="G17" s="53">
        <v>0.14000000000000001</v>
      </c>
      <c r="H17" s="53">
        <v>2</v>
      </c>
      <c r="I17" s="53">
        <v>3</v>
      </c>
      <c r="J17" s="53">
        <v>-1</v>
      </c>
      <c r="K17" s="53">
        <v>1</v>
      </c>
      <c r="L17" t="str">
        <f t="shared" ref="L17:L24" si="9">B17&amp;"_"&amp;C17</f>
        <v>ECB_2</v>
      </c>
    </row>
    <row r="18" spans="2:12" x14ac:dyDescent="0.25">
      <c r="B18" s="53" t="s">
        <v>241</v>
      </c>
      <c r="C18" s="53">
        <v>3</v>
      </c>
      <c r="D18" s="53" t="s">
        <v>156</v>
      </c>
      <c r="E18" s="53">
        <v>14</v>
      </c>
      <c r="F18" s="53">
        <v>0.14000000000000001</v>
      </c>
      <c r="G18" s="53">
        <v>0.28999999999999998</v>
      </c>
      <c r="H18" s="53">
        <v>2</v>
      </c>
      <c r="I18" s="53">
        <v>3</v>
      </c>
      <c r="J18" s="53">
        <v>-1</v>
      </c>
      <c r="K18" s="53">
        <v>1</v>
      </c>
      <c r="L18" t="str">
        <f t="shared" si="9"/>
        <v>ECB_3</v>
      </c>
    </row>
    <row r="19" spans="2:12" x14ac:dyDescent="0.25">
      <c r="B19" s="53" t="s">
        <v>241</v>
      </c>
      <c r="C19" s="53">
        <v>4</v>
      </c>
      <c r="D19" s="53" t="s">
        <v>157</v>
      </c>
      <c r="E19" s="53">
        <v>0</v>
      </c>
      <c r="F19" s="53" t="e">
        <f>NA()</f>
        <v>#N/A</v>
      </c>
      <c r="G19" s="53" t="e">
        <f>NA()</f>
        <v>#N/A</v>
      </c>
      <c r="H19" s="53">
        <v>0.1</v>
      </c>
      <c r="I19" s="53">
        <v>0.9</v>
      </c>
      <c r="J19" s="53">
        <v>-1</v>
      </c>
      <c r="K19" s="53">
        <v>1</v>
      </c>
      <c r="L19" t="str">
        <f t="shared" si="9"/>
        <v>ECB_4</v>
      </c>
    </row>
    <row r="20" spans="2:12" x14ac:dyDescent="0.25">
      <c r="B20" s="53" t="s">
        <v>241</v>
      </c>
      <c r="C20" s="53">
        <v>5</v>
      </c>
      <c r="D20" s="53" t="s">
        <v>158</v>
      </c>
      <c r="E20" s="53">
        <v>0</v>
      </c>
      <c r="F20" s="53" t="e">
        <f>NA()</f>
        <v>#N/A</v>
      </c>
      <c r="G20" s="53" t="e">
        <f>NA()</f>
        <v>#N/A</v>
      </c>
      <c r="H20" s="53">
        <v>0.15</v>
      </c>
      <c r="I20" s="53">
        <v>0.23</v>
      </c>
      <c r="J20" s="53">
        <v>-1</v>
      </c>
      <c r="K20" s="53">
        <v>1</v>
      </c>
      <c r="L20" t="str">
        <f t="shared" si="9"/>
        <v>ECB_5</v>
      </c>
    </row>
    <row r="21" spans="2:12" x14ac:dyDescent="0.25">
      <c r="B21" s="53" t="s">
        <v>241</v>
      </c>
      <c r="C21" s="53">
        <v>6</v>
      </c>
      <c r="D21" s="53" t="s">
        <v>159</v>
      </c>
      <c r="E21" s="53">
        <v>0</v>
      </c>
      <c r="F21" s="53" t="e">
        <f>NA()</f>
        <v>#N/A</v>
      </c>
      <c r="G21" s="53" t="e">
        <f>NA()</f>
        <v>#N/A</v>
      </c>
      <c r="H21" s="53">
        <v>0.03</v>
      </c>
      <c r="I21" s="53">
        <v>0.22</v>
      </c>
      <c r="J21" s="53">
        <v>-1</v>
      </c>
      <c r="K21" s="53">
        <v>1</v>
      </c>
      <c r="L21" t="str">
        <f t="shared" si="9"/>
        <v>ECB_6</v>
      </c>
    </row>
    <row r="22" spans="2:12" x14ac:dyDescent="0.25">
      <c r="B22" s="53" t="s">
        <v>241</v>
      </c>
      <c r="C22" s="53">
        <v>7</v>
      </c>
      <c r="D22" s="53" t="s">
        <v>160</v>
      </c>
      <c r="E22" s="53">
        <v>0</v>
      </c>
      <c r="F22" s="53" t="e">
        <f>NA()</f>
        <v>#N/A</v>
      </c>
      <c r="G22" s="53" t="e">
        <f>NA()</f>
        <v>#N/A</v>
      </c>
      <c r="H22" s="53">
        <v>0.16</v>
      </c>
      <c r="I22" s="53">
        <v>0.22</v>
      </c>
      <c r="J22" s="53">
        <v>1</v>
      </c>
      <c r="K22" s="53">
        <v>-1</v>
      </c>
      <c r="L22" t="str">
        <f t="shared" si="9"/>
        <v>ECB_7</v>
      </c>
    </row>
    <row r="23" spans="2:12" x14ac:dyDescent="0.25">
      <c r="B23" s="53" t="s">
        <v>241</v>
      </c>
      <c r="C23" s="53">
        <v>8</v>
      </c>
      <c r="D23" s="53" t="s">
        <v>161</v>
      </c>
      <c r="E23" s="53">
        <v>0</v>
      </c>
      <c r="F23" s="53" t="e">
        <f>NA()</f>
        <v>#N/A</v>
      </c>
      <c r="G23" s="53" t="e">
        <f>NA()</f>
        <v>#N/A</v>
      </c>
      <c r="H23" s="53">
        <v>0.06</v>
      </c>
      <c r="I23" s="53">
        <v>0.13</v>
      </c>
      <c r="J23" s="53">
        <v>1</v>
      </c>
      <c r="K23" s="53">
        <v>-1</v>
      </c>
      <c r="L23" t="str">
        <f t="shared" si="9"/>
        <v>ECB_8</v>
      </c>
    </row>
    <row r="24" spans="2:12" x14ac:dyDescent="0.25">
      <c r="B24" s="53" t="s">
        <v>241</v>
      </c>
      <c r="C24" s="53">
        <v>9</v>
      </c>
      <c r="D24" s="53" t="s">
        <v>162</v>
      </c>
      <c r="E24" s="53">
        <v>0</v>
      </c>
      <c r="F24" s="53" t="e">
        <f>NA()</f>
        <v>#N/A</v>
      </c>
      <c r="G24" s="53" t="e">
        <f>NA()</f>
        <v>#N/A</v>
      </c>
      <c r="H24" s="53">
        <v>0.1</v>
      </c>
      <c r="I24" s="53">
        <v>0.23</v>
      </c>
      <c r="J24" s="53">
        <v>1</v>
      </c>
      <c r="K24" s="53">
        <v>-1</v>
      </c>
      <c r="L24" t="str">
        <f t="shared" si="9"/>
        <v>ECB_9</v>
      </c>
    </row>
    <row r="25" spans="2:12" x14ac:dyDescent="0.25">
      <c r="B25" t="s">
        <v>5</v>
      </c>
      <c r="C25">
        <v>1</v>
      </c>
      <c r="D25" t="s">
        <v>135</v>
      </c>
      <c r="E25">
        <v>14</v>
      </c>
      <c r="F25">
        <v>1.3</v>
      </c>
      <c r="G25">
        <v>2.2999999999999998</v>
      </c>
      <c r="H25">
        <v>18</v>
      </c>
      <c r="I25">
        <v>31</v>
      </c>
      <c r="J25">
        <v>-1</v>
      </c>
      <c r="K25">
        <v>1</v>
      </c>
      <c r="L25" t="str">
        <f>B25&amp;"_"&amp;C25</f>
        <v>HELP_1</v>
      </c>
    </row>
    <row r="26" spans="2:12" x14ac:dyDescent="0.25">
      <c r="B26" t="s">
        <v>5</v>
      </c>
      <c r="C26">
        <v>2</v>
      </c>
      <c r="D26" t="s">
        <v>155</v>
      </c>
      <c r="E26">
        <v>27</v>
      </c>
      <c r="F26">
        <v>0.09</v>
      </c>
      <c r="G26">
        <v>0.14000000000000001</v>
      </c>
      <c r="H26">
        <v>2</v>
      </c>
      <c r="I26">
        <v>3</v>
      </c>
      <c r="J26">
        <v>-1</v>
      </c>
      <c r="K26">
        <v>1</v>
      </c>
      <c r="L26" t="str">
        <f t="shared" ref="L26:L33" si="10">B26&amp;"_"&amp;C26</f>
        <v>HELP_2</v>
      </c>
    </row>
    <row r="27" spans="2:12" x14ac:dyDescent="0.25">
      <c r="B27" t="s">
        <v>5</v>
      </c>
      <c r="C27">
        <v>3</v>
      </c>
      <c r="D27" t="s">
        <v>156</v>
      </c>
      <c r="E27">
        <v>14</v>
      </c>
      <c r="F27">
        <v>0.14000000000000001</v>
      </c>
      <c r="G27">
        <v>0.28999999999999998</v>
      </c>
      <c r="H27">
        <v>2</v>
      </c>
      <c r="I27">
        <v>3</v>
      </c>
      <c r="J27">
        <v>-1</v>
      </c>
      <c r="K27">
        <v>1</v>
      </c>
      <c r="L27" t="str">
        <f t="shared" si="10"/>
        <v>HELP_3</v>
      </c>
    </row>
    <row r="28" spans="2:12" x14ac:dyDescent="0.25">
      <c r="B28" t="s">
        <v>5</v>
      </c>
      <c r="C28">
        <v>4</v>
      </c>
      <c r="D28" t="s">
        <v>157</v>
      </c>
      <c r="E28">
        <v>0</v>
      </c>
      <c r="F28" t="e">
        <f>NA()</f>
        <v>#N/A</v>
      </c>
      <c r="G28" t="e">
        <f>NA()</f>
        <v>#N/A</v>
      </c>
      <c r="H28">
        <v>0.1</v>
      </c>
      <c r="I28">
        <v>0.9</v>
      </c>
      <c r="J28">
        <v>-1</v>
      </c>
      <c r="K28">
        <v>1</v>
      </c>
      <c r="L28" t="str">
        <f t="shared" si="10"/>
        <v>HELP_4</v>
      </c>
    </row>
    <row r="29" spans="2:12" x14ac:dyDescent="0.25">
      <c r="B29" t="s">
        <v>5</v>
      </c>
      <c r="C29">
        <v>5</v>
      </c>
      <c r="D29" t="s">
        <v>158</v>
      </c>
      <c r="E29">
        <v>0</v>
      </c>
      <c r="F29" t="e">
        <f>NA()</f>
        <v>#N/A</v>
      </c>
      <c r="G29" t="e">
        <f>NA()</f>
        <v>#N/A</v>
      </c>
      <c r="H29">
        <v>0.15</v>
      </c>
      <c r="I29">
        <v>0.23</v>
      </c>
      <c r="J29">
        <v>-1</v>
      </c>
      <c r="K29">
        <v>1</v>
      </c>
      <c r="L29" t="str">
        <f t="shared" si="10"/>
        <v>HELP_5</v>
      </c>
    </row>
    <row r="30" spans="2:12" x14ac:dyDescent="0.25">
      <c r="B30" t="s">
        <v>5</v>
      </c>
      <c r="C30">
        <v>6</v>
      </c>
      <c r="D30" t="s">
        <v>159</v>
      </c>
      <c r="E30">
        <v>0</v>
      </c>
      <c r="F30" t="e">
        <f>NA()</f>
        <v>#N/A</v>
      </c>
      <c r="G30" t="e">
        <f>NA()</f>
        <v>#N/A</v>
      </c>
      <c r="H30">
        <v>0.03</v>
      </c>
      <c r="I30">
        <v>0.22</v>
      </c>
      <c r="J30">
        <v>-1</v>
      </c>
      <c r="K30">
        <v>1</v>
      </c>
      <c r="L30" t="str">
        <f t="shared" si="10"/>
        <v>HELP_6</v>
      </c>
    </row>
    <row r="31" spans="2:12" x14ac:dyDescent="0.25">
      <c r="B31" t="s">
        <v>5</v>
      </c>
      <c r="C31">
        <v>7</v>
      </c>
      <c r="D31" t="s">
        <v>160</v>
      </c>
      <c r="E31">
        <v>0</v>
      </c>
      <c r="F31" t="e">
        <f>NA()</f>
        <v>#N/A</v>
      </c>
      <c r="G31" t="e">
        <f>NA()</f>
        <v>#N/A</v>
      </c>
      <c r="H31">
        <v>0.16</v>
      </c>
      <c r="I31">
        <v>0.22</v>
      </c>
      <c r="J31">
        <v>1</v>
      </c>
      <c r="K31">
        <v>-1</v>
      </c>
      <c r="L31" t="str">
        <f t="shared" si="10"/>
        <v>HELP_7</v>
      </c>
    </row>
    <row r="32" spans="2:12" x14ac:dyDescent="0.25">
      <c r="B32" t="s">
        <v>5</v>
      </c>
      <c r="C32">
        <v>8</v>
      </c>
      <c r="D32" t="s">
        <v>161</v>
      </c>
      <c r="E32">
        <v>0</v>
      </c>
      <c r="F32" t="e">
        <f>NA()</f>
        <v>#N/A</v>
      </c>
      <c r="G32" t="e">
        <f>NA()</f>
        <v>#N/A</v>
      </c>
      <c r="H32">
        <v>0.06</v>
      </c>
      <c r="I32">
        <v>0.13</v>
      </c>
      <c r="J32">
        <v>1</v>
      </c>
      <c r="K32">
        <v>-1</v>
      </c>
      <c r="L32" t="str">
        <f t="shared" si="10"/>
        <v>HELP_8</v>
      </c>
    </row>
    <row r="33" spans="2:12" x14ac:dyDescent="0.25">
      <c r="B33" t="s">
        <v>5</v>
      </c>
      <c r="C33">
        <v>9</v>
      </c>
      <c r="D33" t="s">
        <v>162</v>
      </c>
      <c r="E33">
        <v>0</v>
      </c>
      <c r="F33" t="e">
        <f>NA()</f>
        <v>#N/A</v>
      </c>
      <c r="G33" t="e">
        <f>NA()</f>
        <v>#N/A</v>
      </c>
      <c r="H33">
        <v>0.1</v>
      </c>
      <c r="I33">
        <v>0.23</v>
      </c>
      <c r="J33">
        <v>1</v>
      </c>
      <c r="K33">
        <v>-1</v>
      </c>
      <c r="L33" t="str">
        <f t="shared" si="10"/>
        <v>HELP_9</v>
      </c>
    </row>
    <row r="34" spans="2:12" x14ac:dyDescent="0.25">
      <c r="B34" s="53" t="s">
        <v>242</v>
      </c>
      <c r="C34" s="53">
        <v>1</v>
      </c>
      <c r="D34" s="53" t="s">
        <v>135</v>
      </c>
      <c r="E34" s="53">
        <v>14</v>
      </c>
      <c r="F34" s="53">
        <v>1.3</v>
      </c>
      <c r="G34" s="53">
        <v>2.2999999999999998</v>
      </c>
      <c r="H34" s="53">
        <v>18</v>
      </c>
      <c r="I34" s="53">
        <v>31</v>
      </c>
      <c r="J34" s="53">
        <v>-1</v>
      </c>
      <c r="K34" s="53">
        <v>1</v>
      </c>
      <c r="L34" t="str">
        <f>B34&amp;"_"&amp;C34</f>
        <v>NCH_1</v>
      </c>
    </row>
    <row r="35" spans="2:12" x14ac:dyDescent="0.25">
      <c r="B35" s="53" t="s">
        <v>242</v>
      </c>
      <c r="C35" s="53">
        <v>2</v>
      </c>
      <c r="D35" s="53" t="s">
        <v>155</v>
      </c>
      <c r="E35" s="53">
        <v>27</v>
      </c>
      <c r="F35" s="53">
        <v>0.09</v>
      </c>
      <c r="G35" s="53">
        <v>0.14000000000000001</v>
      </c>
      <c r="H35" s="53">
        <v>2</v>
      </c>
      <c r="I35" s="53">
        <v>3</v>
      </c>
      <c r="J35" s="53">
        <v>-1</v>
      </c>
      <c r="K35" s="53">
        <v>1</v>
      </c>
      <c r="L35" t="str">
        <f t="shared" ref="L35:L42" si="11">B35&amp;"_"&amp;C35</f>
        <v>NCH_2</v>
      </c>
    </row>
    <row r="36" spans="2:12" x14ac:dyDescent="0.25">
      <c r="B36" s="53" t="s">
        <v>242</v>
      </c>
      <c r="C36" s="53">
        <v>3</v>
      </c>
      <c r="D36" s="53" t="s">
        <v>156</v>
      </c>
      <c r="E36" s="53">
        <v>14</v>
      </c>
      <c r="F36" s="53">
        <v>0.14000000000000001</v>
      </c>
      <c r="G36" s="53">
        <v>0.28999999999999998</v>
      </c>
      <c r="H36" s="53">
        <v>2</v>
      </c>
      <c r="I36" s="53">
        <v>3</v>
      </c>
      <c r="J36" s="53">
        <v>-1</v>
      </c>
      <c r="K36" s="53">
        <v>1</v>
      </c>
      <c r="L36" t="str">
        <f t="shared" si="11"/>
        <v>NCH_3</v>
      </c>
    </row>
    <row r="37" spans="2:12" x14ac:dyDescent="0.25">
      <c r="B37" s="53" t="s">
        <v>242</v>
      </c>
      <c r="C37" s="53">
        <v>4</v>
      </c>
      <c r="D37" s="53" t="s">
        <v>157</v>
      </c>
      <c r="E37" s="53">
        <v>0</v>
      </c>
      <c r="F37" s="53" t="e">
        <f>NA()</f>
        <v>#N/A</v>
      </c>
      <c r="G37" s="53" t="e">
        <f>NA()</f>
        <v>#N/A</v>
      </c>
      <c r="H37" s="53">
        <v>0.1</v>
      </c>
      <c r="I37" s="53">
        <v>0.9</v>
      </c>
      <c r="J37" s="53">
        <v>-1</v>
      </c>
      <c r="K37" s="53">
        <v>1</v>
      </c>
      <c r="L37" t="str">
        <f t="shared" si="11"/>
        <v>NCH_4</v>
      </c>
    </row>
    <row r="38" spans="2:12" x14ac:dyDescent="0.25">
      <c r="B38" s="53" t="s">
        <v>242</v>
      </c>
      <c r="C38" s="53">
        <v>5</v>
      </c>
      <c r="D38" s="53" t="s">
        <v>158</v>
      </c>
      <c r="E38" s="53">
        <v>0</v>
      </c>
      <c r="F38" s="53" t="e">
        <f>NA()</f>
        <v>#N/A</v>
      </c>
      <c r="G38" s="53" t="e">
        <f>NA()</f>
        <v>#N/A</v>
      </c>
      <c r="H38" s="53">
        <v>0.15</v>
      </c>
      <c r="I38" s="53">
        <v>0.23</v>
      </c>
      <c r="J38" s="53">
        <v>-1</v>
      </c>
      <c r="K38" s="53">
        <v>1</v>
      </c>
      <c r="L38" t="str">
        <f t="shared" si="11"/>
        <v>NCH_5</v>
      </c>
    </row>
    <row r="39" spans="2:12" x14ac:dyDescent="0.25">
      <c r="B39" s="53" t="s">
        <v>242</v>
      </c>
      <c r="C39" s="53">
        <v>6</v>
      </c>
      <c r="D39" s="53" t="s">
        <v>159</v>
      </c>
      <c r="E39" s="53">
        <v>0</v>
      </c>
      <c r="F39" s="53" t="e">
        <f>NA()</f>
        <v>#N/A</v>
      </c>
      <c r="G39" s="53" t="e">
        <f>NA()</f>
        <v>#N/A</v>
      </c>
      <c r="H39" s="53">
        <v>0.03</v>
      </c>
      <c r="I39" s="53">
        <v>0.22</v>
      </c>
      <c r="J39" s="53">
        <v>-1</v>
      </c>
      <c r="K39" s="53">
        <v>1</v>
      </c>
      <c r="L39" t="str">
        <f t="shared" si="11"/>
        <v>NCH_6</v>
      </c>
    </row>
    <row r="40" spans="2:12" x14ac:dyDescent="0.25">
      <c r="B40" s="53" t="s">
        <v>242</v>
      </c>
      <c r="C40" s="53">
        <v>7</v>
      </c>
      <c r="D40" s="53" t="s">
        <v>160</v>
      </c>
      <c r="E40" s="53">
        <v>0</v>
      </c>
      <c r="F40" s="53" t="e">
        <f>NA()</f>
        <v>#N/A</v>
      </c>
      <c r="G40" s="53" t="e">
        <f>NA()</f>
        <v>#N/A</v>
      </c>
      <c r="H40" s="53">
        <v>0.16</v>
      </c>
      <c r="I40" s="53">
        <v>0.22</v>
      </c>
      <c r="J40" s="53">
        <v>1</v>
      </c>
      <c r="K40" s="53">
        <v>-1</v>
      </c>
      <c r="L40" t="str">
        <f t="shared" si="11"/>
        <v>NCH_7</v>
      </c>
    </row>
    <row r="41" spans="2:12" x14ac:dyDescent="0.25">
      <c r="B41" s="53" t="s">
        <v>242</v>
      </c>
      <c r="C41" s="53">
        <v>8</v>
      </c>
      <c r="D41" s="53" t="s">
        <v>161</v>
      </c>
      <c r="E41" s="53">
        <v>0</v>
      </c>
      <c r="F41" s="53" t="e">
        <f>NA()</f>
        <v>#N/A</v>
      </c>
      <c r="G41" s="53" t="e">
        <f>NA()</f>
        <v>#N/A</v>
      </c>
      <c r="H41" s="53">
        <v>0.06</v>
      </c>
      <c r="I41" s="53">
        <v>0.13</v>
      </c>
      <c r="J41" s="53">
        <v>1</v>
      </c>
      <c r="K41" s="53">
        <v>-1</v>
      </c>
      <c r="L41" t="str">
        <f t="shared" si="11"/>
        <v>NCH_8</v>
      </c>
    </row>
    <row r="42" spans="2:12" x14ac:dyDescent="0.25">
      <c r="B42" s="53" t="s">
        <v>242</v>
      </c>
      <c r="C42" s="53">
        <v>9</v>
      </c>
      <c r="D42" s="53" t="s">
        <v>162</v>
      </c>
      <c r="E42" s="53">
        <v>0</v>
      </c>
      <c r="F42" s="53" t="e">
        <f>NA()</f>
        <v>#N/A</v>
      </c>
      <c r="G42" s="53" t="e">
        <f>NA()</f>
        <v>#N/A</v>
      </c>
      <c r="H42" s="53">
        <v>0.1</v>
      </c>
      <c r="I42" s="53">
        <v>0.23</v>
      </c>
      <c r="J42" s="53">
        <v>1</v>
      </c>
      <c r="K42" s="53">
        <v>-1</v>
      </c>
      <c r="L42" t="str">
        <f t="shared" si="11"/>
        <v>NCH_9</v>
      </c>
    </row>
    <row r="43" spans="2:12" x14ac:dyDescent="0.25">
      <c r="B43" s="53" t="s">
        <v>243</v>
      </c>
      <c r="C43" s="53">
        <v>1</v>
      </c>
      <c r="D43" s="53" t="s">
        <v>135</v>
      </c>
      <c r="E43" s="53">
        <v>14</v>
      </c>
      <c r="F43" s="53">
        <v>1.3</v>
      </c>
      <c r="G43" s="53">
        <v>2.2999999999999998</v>
      </c>
      <c r="H43" s="53">
        <v>18</v>
      </c>
      <c r="I43" s="53">
        <v>31</v>
      </c>
      <c r="J43" s="53">
        <v>-1</v>
      </c>
      <c r="K43" s="53">
        <v>1</v>
      </c>
      <c r="L43" t="str">
        <f>B43&amp;"_"&amp;C43</f>
        <v>NLF_1</v>
      </c>
    </row>
    <row r="44" spans="2:12" x14ac:dyDescent="0.25">
      <c r="B44" s="53" t="s">
        <v>243</v>
      </c>
      <c r="C44" s="53">
        <v>2</v>
      </c>
      <c r="D44" s="53" t="s">
        <v>155</v>
      </c>
      <c r="E44" s="53">
        <v>27</v>
      </c>
      <c r="F44" s="53">
        <v>0.09</v>
      </c>
      <c r="G44" s="53">
        <v>0.14000000000000001</v>
      </c>
      <c r="H44" s="53">
        <v>2</v>
      </c>
      <c r="I44" s="53">
        <v>3</v>
      </c>
      <c r="J44" s="53">
        <v>-1</v>
      </c>
      <c r="K44" s="53">
        <v>1</v>
      </c>
      <c r="L44" t="str">
        <f t="shared" ref="L44:L51" si="12">B44&amp;"_"&amp;C44</f>
        <v>NLF_2</v>
      </c>
    </row>
    <row r="45" spans="2:12" x14ac:dyDescent="0.25">
      <c r="B45" s="53" t="s">
        <v>243</v>
      </c>
      <c r="C45" s="53">
        <v>3</v>
      </c>
      <c r="D45" s="53" t="s">
        <v>156</v>
      </c>
      <c r="E45" s="53">
        <v>14</v>
      </c>
      <c r="F45" s="53">
        <v>0.14000000000000001</v>
      </c>
      <c r="G45" s="53">
        <v>0.28999999999999998</v>
      </c>
      <c r="H45" s="53">
        <v>2</v>
      </c>
      <c r="I45" s="53">
        <v>3</v>
      </c>
      <c r="J45" s="53">
        <v>-1</v>
      </c>
      <c r="K45" s="53">
        <v>1</v>
      </c>
      <c r="L45" t="str">
        <f t="shared" si="12"/>
        <v>NLF_3</v>
      </c>
    </row>
    <row r="46" spans="2:12" x14ac:dyDescent="0.25">
      <c r="B46" s="53" t="s">
        <v>243</v>
      </c>
      <c r="C46" s="53">
        <v>4</v>
      </c>
      <c r="D46" s="53" t="s">
        <v>157</v>
      </c>
      <c r="E46" s="53">
        <v>0</v>
      </c>
      <c r="F46" s="53" t="e">
        <f>NA()</f>
        <v>#N/A</v>
      </c>
      <c r="G46" s="53" t="e">
        <f>NA()</f>
        <v>#N/A</v>
      </c>
      <c r="H46" s="53">
        <v>0.1</v>
      </c>
      <c r="I46" s="53">
        <v>0.9</v>
      </c>
      <c r="J46" s="53">
        <v>-1</v>
      </c>
      <c r="K46" s="53">
        <v>1</v>
      </c>
      <c r="L46" t="str">
        <f t="shared" si="12"/>
        <v>NLF_4</v>
      </c>
    </row>
    <row r="47" spans="2:12" x14ac:dyDescent="0.25">
      <c r="B47" s="53" t="s">
        <v>243</v>
      </c>
      <c r="C47" s="53">
        <v>5</v>
      </c>
      <c r="D47" s="53" t="s">
        <v>158</v>
      </c>
      <c r="E47" s="53">
        <v>0</v>
      </c>
      <c r="F47" s="53" t="e">
        <f>NA()</f>
        <v>#N/A</v>
      </c>
      <c r="G47" s="53" t="e">
        <f>NA()</f>
        <v>#N/A</v>
      </c>
      <c r="H47" s="53">
        <v>0.15</v>
      </c>
      <c r="I47" s="53">
        <v>0.23</v>
      </c>
      <c r="J47" s="53">
        <v>-1</v>
      </c>
      <c r="K47" s="53">
        <v>1</v>
      </c>
      <c r="L47" t="str">
        <f t="shared" si="12"/>
        <v>NLF_5</v>
      </c>
    </row>
    <row r="48" spans="2:12" x14ac:dyDescent="0.25">
      <c r="B48" s="53" t="s">
        <v>243</v>
      </c>
      <c r="C48" s="53">
        <v>6</v>
      </c>
      <c r="D48" s="53" t="s">
        <v>159</v>
      </c>
      <c r="E48" s="53">
        <v>0</v>
      </c>
      <c r="F48" s="53" t="e">
        <f>NA()</f>
        <v>#N/A</v>
      </c>
      <c r="G48" s="53" t="e">
        <f>NA()</f>
        <v>#N/A</v>
      </c>
      <c r="H48" s="53">
        <v>0.03</v>
      </c>
      <c r="I48" s="53">
        <v>0.22</v>
      </c>
      <c r="J48" s="53">
        <v>-1</v>
      </c>
      <c r="K48" s="53">
        <v>1</v>
      </c>
      <c r="L48" t="str">
        <f t="shared" si="12"/>
        <v>NLF_6</v>
      </c>
    </row>
    <row r="49" spans="2:12" x14ac:dyDescent="0.25">
      <c r="B49" s="53" t="s">
        <v>243</v>
      </c>
      <c r="C49" s="53">
        <v>7</v>
      </c>
      <c r="D49" s="53" t="s">
        <v>160</v>
      </c>
      <c r="E49" s="53">
        <v>0</v>
      </c>
      <c r="F49" s="53" t="e">
        <f>NA()</f>
        <v>#N/A</v>
      </c>
      <c r="G49" s="53" t="e">
        <f>NA()</f>
        <v>#N/A</v>
      </c>
      <c r="H49" s="53">
        <v>0.16</v>
      </c>
      <c r="I49" s="53">
        <v>0.22</v>
      </c>
      <c r="J49" s="53">
        <v>1</v>
      </c>
      <c r="K49" s="53">
        <v>-1</v>
      </c>
      <c r="L49" t="str">
        <f t="shared" si="12"/>
        <v>NLF_7</v>
      </c>
    </row>
    <row r="50" spans="2:12" x14ac:dyDescent="0.25">
      <c r="B50" s="53" t="s">
        <v>243</v>
      </c>
      <c r="C50" s="53">
        <v>8</v>
      </c>
      <c r="D50" s="53" t="s">
        <v>161</v>
      </c>
      <c r="E50" s="53">
        <v>0</v>
      </c>
      <c r="F50" s="53" t="e">
        <f>NA()</f>
        <v>#N/A</v>
      </c>
      <c r="G50" s="53" t="e">
        <f>NA()</f>
        <v>#N/A</v>
      </c>
      <c r="H50" s="53">
        <v>0.06</v>
      </c>
      <c r="I50" s="53">
        <v>0.13</v>
      </c>
      <c r="J50" s="53">
        <v>1</v>
      </c>
      <c r="K50" s="53">
        <v>-1</v>
      </c>
      <c r="L50" t="str">
        <f t="shared" si="12"/>
        <v>NLF_8</v>
      </c>
    </row>
    <row r="51" spans="2:12" x14ac:dyDescent="0.25">
      <c r="B51" s="53" t="s">
        <v>243</v>
      </c>
      <c r="C51" s="53">
        <v>9</v>
      </c>
      <c r="D51" s="53" t="s">
        <v>162</v>
      </c>
      <c r="E51" s="53">
        <v>0</v>
      </c>
      <c r="F51" s="53" t="e">
        <f>NA()</f>
        <v>#N/A</v>
      </c>
      <c r="G51" s="53" t="e">
        <f>NA()</f>
        <v>#N/A</v>
      </c>
      <c r="H51" s="53">
        <v>0.1</v>
      </c>
      <c r="I51" s="53">
        <v>0.23</v>
      </c>
      <c r="J51" s="53">
        <v>1</v>
      </c>
      <c r="K51" s="53">
        <v>-1</v>
      </c>
      <c r="L51" t="str">
        <f t="shared" si="12"/>
        <v>NLF_9</v>
      </c>
    </row>
    <row r="52" spans="2:12" x14ac:dyDescent="0.25">
      <c r="B52" s="53" t="s">
        <v>244</v>
      </c>
      <c r="C52" s="53">
        <v>1</v>
      </c>
      <c r="D52" s="53" t="s">
        <v>135</v>
      </c>
      <c r="E52" s="85">
        <v>7</v>
      </c>
      <c r="F52" s="85">
        <v>1.7</v>
      </c>
      <c r="G52" s="85">
        <v>3.3</v>
      </c>
      <c r="H52" s="85">
        <v>12</v>
      </c>
      <c r="I52" s="85">
        <v>24</v>
      </c>
      <c r="J52" s="85">
        <v>-1</v>
      </c>
      <c r="K52" s="85">
        <v>1</v>
      </c>
      <c r="L52" t="str">
        <f>B52&amp;"_"&amp;C52</f>
        <v>SMNITP_1</v>
      </c>
    </row>
    <row r="53" spans="2:12" x14ac:dyDescent="0.25">
      <c r="B53" s="53" t="s">
        <v>244</v>
      </c>
      <c r="C53" s="53">
        <v>2</v>
      </c>
      <c r="D53" s="53" t="s">
        <v>155</v>
      </c>
      <c r="E53" s="85">
        <v>12</v>
      </c>
      <c r="F53" s="85">
        <v>0.1</v>
      </c>
      <c r="G53" s="85">
        <v>0.3</v>
      </c>
      <c r="H53" s="85">
        <v>2</v>
      </c>
      <c r="I53" s="85">
        <v>3</v>
      </c>
      <c r="J53" s="85">
        <v>-1</v>
      </c>
      <c r="K53" s="85">
        <v>1</v>
      </c>
      <c r="L53" t="str">
        <f t="shared" ref="L53:L60" si="13">B53&amp;"_"&amp;C53</f>
        <v>SMNITP_2</v>
      </c>
    </row>
    <row r="54" spans="2:12" x14ac:dyDescent="0.25">
      <c r="B54" s="53" t="s">
        <v>244</v>
      </c>
      <c r="C54" s="53">
        <v>3</v>
      </c>
      <c r="D54" s="53" t="s">
        <v>156</v>
      </c>
      <c r="E54" s="85">
        <v>8</v>
      </c>
      <c r="F54" s="85">
        <v>0.21</v>
      </c>
      <c r="G54" s="85">
        <v>0.6</v>
      </c>
      <c r="H54" s="85">
        <v>2</v>
      </c>
      <c r="I54" s="85">
        <v>4</v>
      </c>
      <c r="J54" s="85">
        <v>-1</v>
      </c>
      <c r="K54" s="85">
        <v>1</v>
      </c>
      <c r="L54" t="str">
        <f t="shared" si="13"/>
        <v>SMNITP_3</v>
      </c>
    </row>
    <row r="55" spans="2:12" x14ac:dyDescent="0.25">
      <c r="B55" s="53" t="s">
        <v>244</v>
      </c>
      <c r="C55" s="53">
        <v>4</v>
      </c>
      <c r="D55" s="53" t="s">
        <v>157</v>
      </c>
      <c r="E55" s="85">
        <v>0</v>
      </c>
      <c r="F55" s="85" t="e">
        <f>NA()</f>
        <v>#N/A</v>
      </c>
      <c r="G55" s="85" t="e">
        <f>NA()</f>
        <v>#N/A</v>
      </c>
      <c r="H55" s="85">
        <v>0.1</v>
      </c>
      <c r="I55" s="85">
        <v>0.9</v>
      </c>
      <c r="J55" s="85">
        <v>-1</v>
      </c>
      <c r="K55" s="85">
        <v>1</v>
      </c>
      <c r="L55" t="str">
        <f t="shared" si="13"/>
        <v>SMNITP_4</v>
      </c>
    </row>
    <row r="56" spans="2:12" x14ac:dyDescent="0.25">
      <c r="B56" s="53" t="s">
        <v>244</v>
      </c>
      <c r="C56" s="53">
        <v>5</v>
      </c>
      <c r="D56" s="53" t="s">
        <v>158</v>
      </c>
      <c r="E56" s="85">
        <v>0</v>
      </c>
      <c r="F56" s="85" t="e">
        <f>NA()</f>
        <v>#N/A</v>
      </c>
      <c r="G56" s="85" t="e">
        <f>NA()</f>
        <v>#N/A</v>
      </c>
      <c r="H56" s="85">
        <v>0.03</v>
      </c>
      <c r="I56" s="85">
        <v>0.18</v>
      </c>
      <c r="J56" s="85">
        <v>-1</v>
      </c>
      <c r="K56" s="85">
        <v>1</v>
      </c>
      <c r="L56" t="str">
        <f t="shared" si="13"/>
        <v>SMNITP_5</v>
      </c>
    </row>
    <row r="57" spans="2:12" x14ac:dyDescent="0.25">
      <c r="B57" s="53" t="s">
        <v>244</v>
      </c>
      <c r="C57" s="53">
        <v>6</v>
      </c>
      <c r="D57" s="53" t="s">
        <v>159</v>
      </c>
      <c r="E57" s="85">
        <v>0</v>
      </c>
      <c r="F57" s="85" t="e">
        <f>NA()</f>
        <v>#N/A</v>
      </c>
      <c r="G57" s="85" t="e">
        <f>NA()</f>
        <v>#N/A</v>
      </c>
      <c r="H57" s="85">
        <v>0.04</v>
      </c>
      <c r="I57" s="85">
        <v>0.28000000000000003</v>
      </c>
      <c r="J57" s="85">
        <v>-1</v>
      </c>
      <c r="K57" s="85">
        <v>1</v>
      </c>
      <c r="L57" t="str">
        <f t="shared" si="13"/>
        <v>SMNITP_6</v>
      </c>
    </row>
    <row r="58" spans="2:12" x14ac:dyDescent="0.25">
      <c r="B58" s="53" t="s">
        <v>244</v>
      </c>
      <c r="C58" s="53">
        <v>7</v>
      </c>
      <c r="D58" s="53" t="s">
        <v>160</v>
      </c>
      <c r="E58" s="85">
        <v>0</v>
      </c>
      <c r="F58" s="85" t="e">
        <f>NA()</f>
        <v>#N/A</v>
      </c>
      <c r="G58" s="85" t="e">
        <f>NA()</f>
        <v>#N/A</v>
      </c>
      <c r="H58" s="85">
        <v>0.2</v>
      </c>
      <c r="I58" s="85">
        <v>0.37</v>
      </c>
      <c r="J58" s="85">
        <v>1</v>
      </c>
      <c r="K58" s="85">
        <v>-1</v>
      </c>
      <c r="L58" t="str">
        <f t="shared" si="13"/>
        <v>SMNITP_7</v>
      </c>
    </row>
    <row r="59" spans="2:12" x14ac:dyDescent="0.25">
      <c r="B59" s="53" t="s">
        <v>244</v>
      </c>
      <c r="C59" s="53">
        <v>8</v>
      </c>
      <c r="D59" s="53" t="s">
        <v>161</v>
      </c>
      <c r="E59" s="85">
        <v>0</v>
      </c>
      <c r="F59" s="85" t="e">
        <f>NA()</f>
        <v>#N/A</v>
      </c>
      <c r="G59" s="85" t="e">
        <f>NA()</f>
        <v>#N/A</v>
      </c>
      <c r="H59" s="85">
        <v>0.04</v>
      </c>
      <c r="I59" s="85">
        <v>0.1</v>
      </c>
      <c r="J59" s="85">
        <v>1</v>
      </c>
      <c r="K59" s="85">
        <v>-1</v>
      </c>
      <c r="L59" t="str">
        <f t="shared" si="13"/>
        <v>SMNITP_8</v>
      </c>
    </row>
    <row r="60" spans="2:12" x14ac:dyDescent="0.25">
      <c r="B60" s="53" t="s">
        <v>244</v>
      </c>
      <c r="C60" s="53">
        <v>9</v>
      </c>
      <c r="D60" s="53" t="s">
        <v>162</v>
      </c>
      <c r="E60" s="85">
        <v>0</v>
      </c>
      <c r="F60" s="85" t="e">
        <f>NA()</f>
        <v>#N/A</v>
      </c>
      <c r="G60" s="85" t="e">
        <f>NA()</f>
        <v>#N/A</v>
      </c>
      <c r="H60" s="85">
        <v>7.0000000000000007E-2</v>
      </c>
      <c r="I60" s="85">
        <v>0.19</v>
      </c>
      <c r="J60" s="85">
        <v>1</v>
      </c>
      <c r="K60" s="85">
        <v>-1</v>
      </c>
      <c r="L60" t="str">
        <f t="shared" si="13"/>
        <v>SMNITP_9</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F857-E5DF-4E66-8319-C654133C8C68}">
  <sheetPr codeName="Sheet4"/>
  <dimension ref="B3:J8"/>
  <sheetViews>
    <sheetView showGridLines="0" workbookViewId="0">
      <selection activeCell="I9" sqref="I9"/>
    </sheetView>
  </sheetViews>
  <sheetFormatPr defaultRowHeight="15" x14ac:dyDescent="0.25"/>
  <cols>
    <col min="2" max="2" width="15.140625" customWidth="1"/>
    <col min="5" max="5" width="22.5703125" bestFit="1" customWidth="1"/>
  </cols>
  <sheetData>
    <row r="3" spans="2:10" ht="18.75" x14ac:dyDescent="0.3">
      <c r="B3" s="79" t="s">
        <v>240</v>
      </c>
      <c r="E3" s="78" t="s">
        <v>263</v>
      </c>
      <c r="I3" s="78" t="s">
        <v>305</v>
      </c>
    </row>
    <row r="4" spans="2:10" x14ac:dyDescent="0.25">
      <c r="B4" t="s">
        <v>241</v>
      </c>
      <c r="E4" s="80" t="s">
        <v>264</v>
      </c>
      <c r="F4" s="80">
        <v>-5</v>
      </c>
      <c r="I4" s="81" t="s">
        <v>306</v>
      </c>
      <c r="J4" s="82" t="s">
        <v>307</v>
      </c>
    </row>
    <row r="5" spans="2:10" x14ac:dyDescent="0.25">
      <c r="B5" t="s">
        <v>5</v>
      </c>
      <c r="E5" s="80" t="s">
        <v>265</v>
      </c>
      <c r="F5" s="80">
        <v>5</v>
      </c>
      <c r="I5" s="80">
        <v>0</v>
      </c>
      <c r="J5" s="80" t="s">
        <v>139</v>
      </c>
    </row>
    <row r="6" spans="2:10" x14ac:dyDescent="0.25">
      <c r="B6" t="s">
        <v>242</v>
      </c>
      <c r="I6" s="80">
        <v>56</v>
      </c>
      <c r="J6" s="80" t="s">
        <v>308</v>
      </c>
    </row>
    <row r="7" spans="2:10" x14ac:dyDescent="0.25">
      <c r="B7" t="s">
        <v>243</v>
      </c>
      <c r="I7" s="80">
        <v>105</v>
      </c>
      <c r="J7" s="80" t="s">
        <v>146</v>
      </c>
    </row>
    <row r="8" spans="2:10" x14ac:dyDescent="0.25">
      <c r="B8" t="s">
        <v>244</v>
      </c>
      <c r="I8" s="80">
        <v>155</v>
      </c>
      <c r="J8" s="80" t="s">
        <v>142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3E491-B15D-4B2A-9C5A-EF5789C8F7C8}">
  <sheetPr codeName="Sheet5"/>
  <dimension ref="B4:B7"/>
  <sheetViews>
    <sheetView workbookViewId="0">
      <selection activeCell="K36" sqref="K36"/>
    </sheetView>
  </sheetViews>
  <sheetFormatPr defaultRowHeight="15" x14ac:dyDescent="0.25"/>
  <sheetData>
    <row r="4" spans="2:2" x14ac:dyDescent="0.25">
      <c r="B4" t="s">
        <v>247</v>
      </c>
    </row>
    <row r="6" spans="2:2" x14ac:dyDescent="0.25">
      <c r="B6" t="s">
        <v>248</v>
      </c>
    </row>
    <row r="7" spans="2:2" x14ac:dyDescent="0.25">
      <c r="B7" t="s">
        <v>249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24</vt:i4>
      </vt:variant>
    </vt:vector>
  </HeadingPairs>
  <TitlesOfParts>
    <vt:vector size="29" baseType="lpstr">
      <vt:lpstr>Proc. 51 Habitat Data</vt:lpstr>
      <vt:lpstr>Proc. 51 Macro Data</vt:lpstr>
      <vt:lpstr>SummaryDefs</vt:lpstr>
      <vt:lpstr>Parameters</vt:lpstr>
      <vt:lpstr>NotesIdeasQuestions</vt:lpstr>
      <vt:lpstr>Downstream</vt:lpstr>
      <vt:lpstr>eco_summary_defs</vt:lpstr>
      <vt:lpstr>EcoMetricKey</vt:lpstr>
      <vt:lpstr>ecoregion_DS</vt:lpstr>
      <vt:lpstr>ecoregion_US</vt:lpstr>
      <vt:lpstr>Ecoregions</vt:lpstr>
      <vt:lpstr>edit_mode</vt:lpstr>
      <vt:lpstr>Excellent_Thresh</vt:lpstr>
      <vt:lpstr>HBI_Tolerance_Rating</vt:lpstr>
      <vt:lpstr>HBI_Value_DS</vt:lpstr>
      <vt:lpstr>HBI_Value_US</vt:lpstr>
      <vt:lpstr>isEPTtaxa</vt:lpstr>
      <vt:lpstr>isSurfaceDept</vt:lpstr>
      <vt:lpstr>Level1</vt:lpstr>
      <vt:lpstr>Level2</vt:lpstr>
      <vt:lpstr>Lookup_WQ</vt:lpstr>
      <vt:lpstr>Poor_Thresh</vt:lpstr>
      <vt:lpstr>Site_Code</vt:lpstr>
      <vt:lpstr>Total_DS</vt:lpstr>
      <vt:lpstr>total_habitat_rating_lookup</vt:lpstr>
      <vt:lpstr>Total_US</vt:lpstr>
      <vt:lpstr>Upstream</vt:lpstr>
      <vt:lpstr>Width_DS</vt:lpstr>
      <vt:lpstr>Width_US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Diesing</dc:creator>
  <cp:lastModifiedBy>Mark Isken</cp:lastModifiedBy>
  <dcterms:created xsi:type="dcterms:W3CDTF">2020-01-21T12:36:37Z</dcterms:created>
  <dcterms:modified xsi:type="dcterms:W3CDTF">2022-12-30T18:37:51Z</dcterms:modified>
</cp:coreProperties>
</file>